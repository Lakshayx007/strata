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umptions" sheetId="1" r:id="rId1"/>
    <sheet name="Segments" sheetId="2" r:id="rId2"/>
    <sheet name="TopDownCheck" sheetId="3" r:id="rId3"/>
  </sheets>
  <calcPr calcId="124519" fullCalcOnLoad="1"/>
</workbook>
</file>

<file path=xl/sharedStrings.xml><?xml version="1.0" encoding="utf-8"?>
<sst xmlns="http://schemas.openxmlformats.org/spreadsheetml/2006/main" count="620" uniqueCount="105">
  <si>
    <t>key</t>
  </si>
  <si>
    <t>value</t>
  </si>
  <si>
    <t>unit</t>
  </si>
  <si>
    <t>low</t>
  </si>
  <si>
    <t>base</t>
  </si>
  <si>
    <t>high</t>
  </si>
  <si>
    <t>type</t>
  </si>
  <si>
    <t>source_url</t>
  </si>
  <si>
    <t>accessed</t>
  </si>
  <si>
    <t>rationale</t>
  </si>
  <si>
    <t>firms_large</t>
  </si>
  <si>
    <t>firms</t>
  </si>
  <si>
    <t>SOURCED</t>
  </si>
  <si>
    <t>https://www.census.gov/programs-surveys/susb.html</t>
  </si>
  <si>
    <t>2026-09-30</t>
  </si>
  <si>
    <t>US Census + extrapolating global 1000+ emp firms</t>
  </si>
  <si>
    <t>firms_mid</t>
  </si>
  <si>
    <t>ASSUMPTION</t>
  </si>
  <si>
    <t>Broad estimate of 100-999 emp firms globally</t>
  </si>
  <si>
    <t>adoption_large</t>
  </si>
  <si>
    <t>share</t>
  </si>
  <si>
    <t>Large enterprises are more likely to have a modern data platform</t>
  </si>
  <si>
    <t>adoption_mid</t>
  </si>
  <si>
    <t>Mid market adoption is growing but trails large enterprise</t>
  </si>
  <si>
    <t>spend_large</t>
  </si>
  <si>
    <t>USD</t>
  </si>
  <si>
    <t>Average annual platform spend for large enterprise</t>
  </si>
  <si>
    <t>spend_mid</t>
  </si>
  <si>
    <t>Average annual platform spend for mid market</t>
  </si>
  <si>
    <t>share_eng</t>
  </si>
  <si>
    <t>Data engineering and ETL remains the heaviest workload</t>
  </si>
  <si>
    <t>share_wh</t>
  </si>
  <si>
    <t>SQL analytics and BI is the core warehouse use case</t>
  </si>
  <si>
    <t>share_stream</t>
  </si>
  <si>
    <t>Streaming is growing but still smaller share of spend</t>
  </si>
  <si>
    <t>share_ai</t>
  </si>
  <si>
    <t>AI/ML preparation spend is increasing rapidly</t>
  </si>
  <si>
    <t>share_gov</t>
  </si>
  <si>
    <t>Governance and cataloging is essential but lower compute cost</t>
  </si>
  <si>
    <t>deploy_public</t>
  </si>
  <si>
    <t>Public cloud is the dominant deployment mode</t>
  </si>
  <si>
    <t>deploy_private</t>
  </si>
  <si>
    <t>On-prem/private cloud remains for regulated industries</t>
  </si>
  <si>
    <t>deploy_hybrid</t>
  </si>
  <si>
    <t>Hybrid spans both</t>
  </si>
  <si>
    <t>cagr_eng</t>
  </si>
  <si>
    <t>rate</t>
  </si>
  <si>
    <t>Steady growth for data engineering</t>
  </si>
  <si>
    <t>cagr_wh</t>
  </si>
  <si>
    <t>Mature market and slower growth</t>
  </si>
  <si>
    <t>cagr_stream</t>
  </si>
  <si>
    <t>High growth in real-time use cases</t>
  </si>
  <si>
    <t>cagr_ai</t>
  </si>
  <si>
    <t>Fastest growing segment due to GenAI</t>
  </si>
  <si>
    <t>cagr_gov</t>
  </si>
  <si>
    <t>Governance needs grow with data volume</t>
  </si>
  <si>
    <t>cagr_deploy_public</t>
  </si>
  <si>
    <t>Public cloud growing faster than on-prem</t>
  </si>
  <si>
    <t>cagr_deploy_private</t>
  </si>
  <si>
    <t>On-prem is shrinking slowly</t>
  </si>
  <si>
    <t>cagr_deploy_hybrid</t>
  </si>
  <si>
    <t>Hybrid grows as a transition architecture</t>
  </si>
  <si>
    <t>top_down_snowflake</t>
  </si>
  <si>
    <t>https://investors.snowflake.com</t>
  </si>
  <si>
    <t>Reported product revenue</t>
  </si>
  <si>
    <t>top_down_databricks</t>
  </si>
  <si>
    <t>https://www.databricks.com/company/newsroom</t>
  </si>
  <si>
    <t>Announced revenue run-rate</t>
  </si>
  <si>
    <t>top_down_cloud</t>
  </si>
  <si>
    <t>Estimated data platform revenue from AWS/GCP/Azure</t>
  </si>
  <si>
    <t>Workload</t>
  </si>
  <si>
    <t>Deployment</t>
  </si>
  <si>
    <t>Tier</t>
  </si>
  <si>
    <t>Region</t>
  </si>
  <si>
    <t>Size 2025</t>
  </si>
  <si>
    <t>Size 2026</t>
  </si>
  <si>
    <t>Size 2027</t>
  </si>
  <si>
    <t>Size 2028</t>
  </si>
  <si>
    <t>Size 2029</t>
  </si>
  <si>
    <t>Size 2030</t>
  </si>
  <si>
    <t>CAGR</t>
  </si>
  <si>
    <t>Data engineering / ETL</t>
  </si>
  <si>
    <t>Public cloud</t>
  </si>
  <si>
    <t>Large enterprise (1 000+ emp)</t>
  </si>
  <si>
    <t>North America</t>
  </si>
  <si>
    <t>Europe</t>
  </si>
  <si>
    <t>APAC</t>
  </si>
  <si>
    <t>Rest of World</t>
  </si>
  <si>
    <t>Mid-market (100–999 emp)</t>
  </si>
  <si>
    <t>Private cloud / on-prem</t>
  </si>
  <si>
    <t>Hybrid</t>
  </si>
  <si>
    <t>SQL analytics &amp; BI</t>
  </si>
  <si>
    <t>Streaming / real-time</t>
  </si>
  <si>
    <t>AI/ML &amp; GenAI prep</t>
  </si>
  <si>
    <t>Governance / catalog</t>
  </si>
  <si>
    <t>TOTAL</t>
  </si>
  <si>
    <t>Source</t>
  </si>
  <si>
    <t>Revenue (USD)</t>
  </si>
  <si>
    <t>Type</t>
  </si>
  <si>
    <t>Snowflake</t>
  </si>
  <si>
    <t>Databricks</t>
  </si>
  <si>
    <t>Cloud</t>
  </si>
  <si>
    <t>Top-down total</t>
  </si>
  <si>
    <t>Bottom-up 2025</t>
  </si>
  <si>
    <t>Gap (bottom-up − top-down)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</si>
</sst>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164" fontId="0" fillId="0" borderId="0" xfId="0" applyNumberFormat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ensus.gov/programs-surveys/susb.html" TargetMode="External"/><Relationship Id="rId2" Type="http://schemas.openxmlformats.org/officeDocument/2006/relationships/hyperlink" Target="https://investors.snowflake.com" TargetMode="External"/><Relationship Id="rId3" Type="http://schemas.openxmlformats.org/officeDocument/2006/relationships/hyperlink" Target="https://www.databricks.com/company/newsro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50000</v>
      </c>
      <c r="C2" t="s">
        <v>11</v>
      </c>
      <c r="D2">
        <v>40000</v>
      </c>
      <c r="E2">
        <v>50000</v>
      </c>
      <c r="F2">
        <v>60000</v>
      </c>
      <c r="G2" t="s">
        <v>12</v>
      </c>
      <c r="H2" s="1" t="s">
        <v>13</v>
      </c>
      <c r="I2" t="s">
        <v>14</v>
      </c>
      <c r="J2" t="s">
        <v>15</v>
      </c>
    </row>
    <row r="3" spans="1:10">
      <c r="A3" t="s">
        <v>16</v>
      </c>
      <c r="B3">
        <v>250000</v>
      </c>
      <c r="C3" t="s">
        <v>11</v>
      </c>
      <c r="D3">
        <v>200000</v>
      </c>
      <c r="E3">
        <v>250000</v>
      </c>
      <c r="F3">
        <v>300000</v>
      </c>
      <c r="G3" t="s">
        <v>17</v>
      </c>
      <c r="J3" t="s">
        <v>18</v>
      </c>
    </row>
    <row r="4" spans="1:10">
      <c r="A4" t="s">
        <v>19</v>
      </c>
      <c r="B4">
        <v>0.6</v>
      </c>
      <c r="C4" t="s">
        <v>20</v>
      </c>
      <c r="D4">
        <v>0.5</v>
      </c>
      <c r="E4">
        <v>0.6</v>
      </c>
      <c r="F4">
        <v>0.7</v>
      </c>
      <c r="G4" t="s">
        <v>17</v>
      </c>
      <c r="J4" t="s">
        <v>21</v>
      </c>
    </row>
    <row r="5" spans="1:10">
      <c r="A5" t="s">
        <v>22</v>
      </c>
      <c r="B5">
        <v>0.25</v>
      </c>
      <c r="C5" t="s">
        <v>20</v>
      </c>
      <c r="D5">
        <v>0.15</v>
      </c>
      <c r="E5">
        <v>0.25</v>
      </c>
      <c r="F5">
        <v>0.35</v>
      </c>
      <c r="G5" t="s">
        <v>17</v>
      </c>
      <c r="J5" t="s">
        <v>23</v>
      </c>
    </row>
    <row r="6" spans="1:10">
      <c r="A6" t="s">
        <v>24</v>
      </c>
      <c r="B6">
        <v>1500000</v>
      </c>
      <c r="C6" t="s">
        <v>25</v>
      </c>
      <c r="D6">
        <v>1000000</v>
      </c>
      <c r="E6">
        <v>1500000</v>
      </c>
      <c r="F6">
        <v>2000000</v>
      </c>
      <c r="G6" t="s">
        <v>17</v>
      </c>
      <c r="J6" t="s">
        <v>26</v>
      </c>
    </row>
    <row r="7" spans="1:10">
      <c r="A7" t="s">
        <v>27</v>
      </c>
      <c r="B7">
        <v>150000</v>
      </c>
      <c r="C7" t="s">
        <v>25</v>
      </c>
      <c r="D7">
        <v>100000</v>
      </c>
      <c r="E7">
        <v>150000</v>
      </c>
      <c r="F7">
        <v>200000</v>
      </c>
      <c r="G7" t="s">
        <v>17</v>
      </c>
      <c r="J7" t="s">
        <v>28</v>
      </c>
    </row>
    <row r="8" spans="1:10">
      <c r="A8" t="s">
        <v>29</v>
      </c>
      <c r="B8">
        <v>0.3</v>
      </c>
      <c r="C8" t="s">
        <v>20</v>
      </c>
      <c r="D8">
        <v>0.25</v>
      </c>
      <c r="E8">
        <v>0.3</v>
      </c>
      <c r="F8">
        <v>0.35</v>
      </c>
      <c r="G8" t="s">
        <v>17</v>
      </c>
      <c r="J8" t="s">
        <v>30</v>
      </c>
    </row>
    <row r="9" spans="1:10">
      <c r="A9" t="s">
        <v>31</v>
      </c>
      <c r="B9">
        <v>0.35</v>
      </c>
      <c r="C9" t="s">
        <v>20</v>
      </c>
      <c r="D9">
        <v>0.3</v>
      </c>
      <c r="E9">
        <v>0.35</v>
      </c>
      <c r="F9">
        <v>0.4</v>
      </c>
      <c r="G9" t="s">
        <v>17</v>
      </c>
      <c r="J9" t="s">
        <v>32</v>
      </c>
    </row>
    <row r="10" spans="1:10">
      <c r="A10" t="s">
        <v>33</v>
      </c>
      <c r="B10">
        <v>0.1</v>
      </c>
      <c r="C10" t="s">
        <v>20</v>
      </c>
      <c r="D10">
        <v>0.05</v>
      </c>
      <c r="E10">
        <v>0.1</v>
      </c>
      <c r="F10">
        <v>0.15</v>
      </c>
      <c r="G10" t="s">
        <v>17</v>
      </c>
      <c r="J10" t="s">
        <v>34</v>
      </c>
    </row>
    <row r="11" spans="1:10">
      <c r="A11" t="s">
        <v>35</v>
      </c>
      <c r="B11">
        <v>0.15</v>
      </c>
      <c r="C11" t="s">
        <v>20</v>
      </c>
      <c r="D11">
        <v>0.1</v>
      </c>
      <c r="E11">
        <v>0.15</v>
      </c>
      <c r="F11">
        <v>0.2</v>
      </c>
      <c r="G11" t="s">
        <v>17</v>
      </c>
      <c r="J11" t="s">
        <v>36</v>
      </c>
    </row>
    <row r="12" spans="1:10">
      <c r="A12" t="s">
        <v>37</v>
      </c>
      <c r="B12">
        <v>0.1</v>
      </c>
      <c r="C12" t="s">
        <v>20</v>
      </c>
      <c r="D12">
        <v>0.05</v>
      </c>
      <c r="E12">
        <v>0.1</v>
      </c>
      <c r="F12">
        <v>0.15</v>
      </c>
      <c r="G12" t="s">
        <v>17</v>
      </c>
      <c r="J12" t="s">
        <v>38</v>
      </c>
    </row>
    <row r="13" spans="1:10">
      <c r="A13" t="s">
        <v>39</v>
      </c>
      <c r="B13">
        <v>0.65</v>
      </c>
      <c r="C13" t="s">
        <v>20</v>
      </c>
      <c r="D13">
        <v>0.55</v>
      </c>
      <c r="E13">
        <v>0.65</v>
      </c>
      <c r="F13">
        <v>0.75</v>
      </c>
      <c r="G13" t="s">
        <v>17</v>
      </c>
      <c r="J13" t="s">
        <v>40</v>
      </c>
    </row>
    <row r="14" spans="1:10">
      <c r="A14" t="s">
        <v>41</v>
      </c>
      <c r="B14">
        <v>0.15</v>
      </c>
      <c r="C14" t="s">
        <v>20</v>
      </c>
      <c r="D14">
        <v>0.1</v>
      </c>
      <c r="E14">
        <v>0.15</v>
      </c>
      <c r="F14">
        <v>0.2</v>
      </c>
      <c r="G14" t="s">
        <v>17</v>
      </c>
      <c r="J14" t="s">
        <v>42</v>
      </c>
    </row>
    <row r="15" spans="1:10">
      <c r="A15" t="s">
        <v>43</v>
      </c>
      <c r="B15">
        <v>0.2</v>
      </c>
      <c r="C15" t="s">
        <v>20</v>
      </c>
      <c r="D15">
        <v>0.15</v>
      </c>
      <c r="E15">
        <v>0.2</v>
      </c>
      <c r="F15">
        <v>0.25</v>
      </c>
      <c r="G15" t="s">
        <v>17</v>
      </c>
      <c r="J15" t="s">
        <v>44</v>
      </c>
    </row>
    <row r="16" spans="1:10">
      <c r="A16" t="s">
        <v>45</v>
      </c>
      <c r="B16">
        <v>0.12</v>
      </c>
      <c r="C16" t="s">
        <v>46</v>
      </c>
      <c r="D16">
        <v>0.08</v>
      </c>
      <c r="E16">
        <v>0.12</v>
      </c>
      <c r="F16">
        <v>0.16</v>
      </c>
      <c r="G16" t="s">
        <v>17</v>
      </c>
      <c r="J16" t="s">
        <v>47</v>
      </c>
    </row>
    <row r="17" spans="1:10">
      <c r="A17" t="s">
        <v>48</v>
      </c>
      <c r="B17">
        <v>0.1</v>
      </c>
      <c r="C17" t="s">
        <v>46</v>
      </c>
      <c r="D17">
        <v>0.05</v>
      </c>
      <c r="E17">
        <v>0.1</v>
      </c>
      <c r="F17">
        <v>0.15</v>
      </c>
      <c r="G17" t="s">
        <v>17</v>
      </c>
      <c r="J17" t="s">
        <v>49</v>
      </c>
    </row>
    <row r="18" spans="1:10">
      <c r="A18" t="s">
        <v>50</v>
      </c>
      <c r="B18">
        <v>0.25</v>
      </c>
      <c r="C18" t="s">
        <v>46</v>
      </c>
      <c r="D18">
        <v>0.2</v>
      </c>
      <c r="E18">
        <v>0.25</v>
      </c>
      <c r="F18">
        <v>0.3</v>
      </c>
      <c r="G18" t="s">
        <v>17</v>
      </c>
      <c r="J18" t="s">
        <v>51</v>
      </c>
    </row>
    <row r="19" spans="1:10">
      <c r="A19" t="s">
        <v>52</v>
      </c>
      <c r="B19">
        <v>0.35</v>
      </c>
      <c r="C19" t="s">
        <v>46</v>
      </c>
      <c r="D19">
        <v>0.25</v>
      </c>
      <c r="E19">
        <v>0.35</v>
      </c>
      <c r="F19">
        <v>0.45</v>
      </c>
      <c r="G19" t="s">
        <v>17</v>
      </c>
      <c r="J19" t="s">
        <v>53</v>
      </c>
    </row>
    <row r="20" spans="1:10">
      <c r="A20" t="s">
        <v>54</v>
      </c>
      <c r="B20">
        <v>0.2</v>
      </c>
      <c r="C20" t="s">
        <v>46</v>
      </c>
      <c r="D20">
        <v>0.15</v>
      </c>
      <c r="E20">
        <v>0.2</v>
      </c>
      <c r="F20">
        <v>0.25</v>
      </c>
      <c r="G20" t="s">
        <v>17</v>
      </c>
      <c r="J20" t="s">
        <v>55</v>
      </c>
    </row>
    <row r="21" spans="1:10">
      <c r="A21" t="s">
        <v>56</v>
      </c>
      <c r="B21">
        <v>0.22</v>
      </c>
      <c r="C21" t="s">
        <v>46</v>
      </c>
      <c r="D21">
        <v>0.18</v>
      </c>
      <c r="E21">
        <v>0.22</v>
      </c>
      <c r="F21">
        <v>0.26</v>
      </c>
      <c r="G21" t="s">
        <v>17</v>
      </c>
      <c r="J21" t="s">
        <v>57</v>
      </c>
    </row>
    <row r="22" spans="1:10">
      <c r="A22" t="s">
        <v>58</v>
      </c>
      <c r="B22">
        <v>-0.05</v>
      </c>
      <c r="C22" t="s">
        <v>46</v>
      </c>
      <c r="D22">
        <v>-0.1</v>
      </c>
      <c r="E22">
        <v>-0.05</v>
      </c>
      <c r="F22">
        <v>0</v>
      </c>
      <c r="G22" t="s">
        <v>17</v>
      </c>
      <c r="J22" t="s">
        <v>59</v>
      </c>
    </row>
    <row r="23" spans="1:10">
      <c r="A23" t="s">
        <v>60</v>
      </c>
      <c r="B23">
        <v>0.15</v>
      </c>
      <c r="C23" t="s">
        <v>46</v>
      </c>
      <c r="D23">
        <v>0.1</v>
      </c>
      <c r="E23">
        <v>0.15</v>
      </c>
      <c r="F23">
        <v>0.2</v>
      </c>
      <c r="G23" t="s">
        <v>17</v>
      </c>
      <c r="J23" t="s">
        <v>61</v>
      </c>
    </row>
    <row r="24" spans="1:10">
      <c r="A24" t="s">
        <v>62</v>
      </c>
      <c r="B24">
        <v>3500000000</v>
      </c>
      <c r="C24" t="s">
        <v>25</v>
      </c>
      <c r="G24" t="s">
        <v>12</v>
      </c>
      <c r="H24" s="1" t="s">
        <v>63</v>
      </c>
      <c r="I24" t="s">
        <v>14</v>
      </c>
      <c r="J24" t="s">
        <v>64</v>
      </c>
    </row>
    <row r="25" spans="1:10">
      <c r="A25" t="s">
        <v>65</v>
      </c>
      <c r="B25">
        <v>2400000000</v>
      </c>
      <c r="C25" t="s">
        <v>25</v>
      </c>
      <c r="G25" t="s">
        <v>12</v>
      </c>
      <c r="H25" s="1" t="s">
        <v>66</v>
      </c>
      <c r="I25" t="s">
        <v>14</v>
      </c>
      <c r="J25" t="s">
        <v>67</v>
      </c>
    </row>
    <row r="26" spans="1:10">
      <c r="A26" t="s">
        <v>68</v>
      </c>
      <c r="B26">
        <v>15000000000</v>
      </c>
      <c r="C26" t="s">
        <v>25</v>
      </c>
      <c r="G26" t="s">
        <v>17</v>
      </c>
      <c r="J26" t="s">
        <v>69</v>
      </c>
    </row>
  </sheetData>
  <hyperlinks>
    <hyperlink ref="H2" r:id="rId1"/>
    <hyperlink ref="H24" r:id="rId2"/>
    <hyperlink ref="H25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5"/>
  <sheetData>
    <row r="1" spans="1:11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</row>
    <row r="2" spans="1:11">
      <c r="A2" t="s">
        <v>81</v>
      </c>
      <c r="B2" t="s">
        <v>82</v>
      </c>
      <c r="C2" t="s">
        <v>83</v>
      </c>
      <c r="D2" t="s">
        <v>84</v>
      </c>
      <c r="E2" s="2">
        <v>3510000000</v>
      </c>
      <c r="F2" s="2">
        <v>4106700000</v>
      </c>
      <c r="G2" s="2">
        <v>4804839000</v>
      </c>
      <c r="H2" s="2">
        <v>5621661630</v>
      </c>
      <c r="I2" s="2">
        <v>6577344107.1</v>
      </c>
      <c r="J2" s="2">
        <f>E2*((1+K2)^5)</f>
        <v>7695492605.31</v>
      </c>
      <c r="K2" s="3">
        <v>0.17</v>
      </c>
    </row>
    <row r="3" spans="1:11">
      <c r="A3" t="s">
        <v>81</v>
      </c>
      <c r="B3" t="s">
        <v>82</v>
      </c>
      <c r="C3" t="s">
        <v>83</v>
      </c>
      <c r="D3" t="s">
        <v>85</v>
      </c>
      <c r="E3" s="2">
        <v>2632500000</v>
      </c>
      <c r="F3" s="2">
        <v>3080025000</v>
      </c>
      <c r="G3" s="2">
        <v>3603629250</v>
      </c>
      <c r="H3" s="2">
        <v>4216246222.5</v>
      </c>
      <c r="I3" s="2">
        <v>4933008080.32</v>
      </c>
      <c r="J3" s="2">
        <f>E3*((1+K3)^5)</f>
        <v>5771619453.98</v>
      </c>
      <c r="K3" s="3">
        <v>0.17</v>
      </c>
    </row>
    <row r="4" spans="1:11">
      <c r="A4" t="s">
        <v>81</v>
      </c>
      <c r="B4" t="s">
        <v>82</v>
      </c>
      <c r="C4" t="s">
        <v>83</v>
      </c>
      <c r="D4" t="s">
        <v>86</v>
      </c>
      <c r="E4" s="2">
        <v>1930500000</v>
      </c>
      <c r="F4" s="2">
        <v>2258685000</v>
      </c>
      <c r="G4" s="2">
        <v>2642661450</v>
      </c>
      <c r="H4" s="2">
        <v>3091913896.5</v>
      </c>
      <c r="I4" s="2">
        <v>3617539258.9</v>
      </c>
      <c r="J4" s="2">
        <f>E4*((1+K4)^5)</f>
        <v>4232520932.92</v>
      </c>
      <c r="K4" s="3">
        <v>0.17</v>
      </c>
    </row>
    <row r="5" spans="1:11">
      <c r="A5" t="s">
        <v>81</v>
      </c>
      <c r="B5" t="s">
        <v>82</v>
      </c>
      <c r="C5" t="s">
        <v>83</v>
      </c>
      <c r="D5" t="s">
        <v>87</v>
      </c>
      <c r="E5" s="2">
        <v>702000000</v>
      </c>
      <c r="F5" s="2">
        <v>821340000</v>
      </c>
      <c r="G5" s="2">
        <v>960967800</v>
      </c>
      <c r="H5" s="2">
        <v>1124332326</v>
      </c>
      <c r="I5" s="2">
        <v>1315468821.42</v>
      </c>
      <c r="J5" s="2">
        <f>E5*((1+K5)^5)</f>
        <v>1539098521.06</v>
      </c>
      <c r="K5" s="3">
        <v>0.17</v>
      </c>
    </row>
    <row r="6" spans="1:11">
      <c r="A6" t="s">
        <v>81</v>
      </c>
      <c r="B6" t="s">
        <v>82</v>
      </c>
      <c r="C6" t="s">
        <v>88</v>
      </c>
      <c r="D6" t="s">
        <v>84</v>
      </c>
      <c r="E6" s="2">
        <v>731250000</v>
      </c>
      <c r="F6" s="2">
        <v>855562500</v>
      </c>
      <c r="G6" s="2">
        <v>1001008125</v>
      </c>
      <c r="H6" s="2">
        <v>1171179506.25</v>
      </c>
      <c r="I6" s="2">
        <v>1370280022.31</v>
      </c>
      <c r="J6" s="2">
        <f>E6*((1+K6)^5)</f>
        <v>1603227626.11</v>
      </c>
      <c r="K6" s="3">
        <v>0.17</v>
      </c>
    </row>
    <row r="7" spans="1:11">
      <c r="A7" t="s">
        <v>81</v>
      </c>
      <c r="B7" t="s">
        <v>82</v>
      </c>
      <c r="C7" t="s">
        <v>88</v>
      </c>
      <c r="D7" t="s">
        <v>85</v>
      </c>
      <c r="E7" s="2">
        <v>548437500</v>
      </c>
      <c r="F7" s="2">
        <v>641671875</v>
      </c>
      <c r="G7" s="2">
        <v>750756093.75</v>
      </c>
      <c r="H7" s="2">
        <v>878384629.6900001</v>
      </c>
      <c r="I7" s="2">
        <v>1027710016.73</v>
      </c>
      <c r="J7" s="2">
        <f>E7*((1+K7)^5)</f>
        <v>1202420719.58</v>
      </c>
      <c r="K7" s="3">
        <v>0.17</v>
      </c>
    </row>
    <row r="8" spans="1:11">
      <c r="A8" t="s">
        <v>81</v>
      </c>
      <c r="B8" t="s">
        <v>82</v>
      </c>
      <c r="C8" t="s">
        <v>88</v>
      </c>
      <c r="D8" t="s">
        <v>86</v>
      </c>
      <c r="E8" s="2">
        <v>402187500</v>
      </c>
      <c r="F8" s="2">
        <v>470559375</v>
      </c>
      <c r="G8" s="2">
        <v>550554468.75</v>
      </c>
      <c r="H8" s="2">
        <v>644148728.4400001</v>
      </c>
      <c r="I8" s="2">
        <v>753654012.27</v>
      </c>
      <c r="J8" s="2">
        <f>E8*((1+K8)^5)</f>
        <v>881775194.36</v>
      </c>
      <c r="K8" s="3">
        <v>0.17</v>
      </c>
    </row>
    <row r="9" spans="1:11">
      <c r="A9" t="s">
        <v>81</v>
      </c>
      <c r="B9" t="s">
        <v>82</v>
      </c>
      <c r="C9" t="s">
        <v>88</v>
      </c>
      <c r="D9" t="s">
        <v>87</v>
      </c>
      <c r="E9" s="2">
        <v>146250000</v>
      </c>
      <c r="F9" s="2">
        <v>171112500</v>
      </c>
      <c r="G9" s="2">
        <v>200201625</v>
      </c>
      <c r="H9" s="2">
        <v>234235901.25</v>
      </c>
      <c r="I9" s="2">
        <v>274056004.46</v>
      </c>
      <c r="J9" s="2">
        <f>E9*((1+K9)^5)</f>
        <v>320645525.22</v>
      </c>
      <c r="K9" s="3">
        <v>0.17</v>
      </c>
    </row>
    <row r="10" spans="1:11">
      <c r="A10" t="s">
        <v>81</v>
      </c>
      <c r="B10" t="s">
        <v>89</v>
      </c>
      <c r="C10" t="s">
        <v>83</v>
      </c>
      <c r="D10" t="s">
        <v>84</v>
      </c>
      <c r="E10" s="2">
        <v>810000000</v>
      </c>
      <c r="F10" s="2">
        <v>838350000</v>
      </c>
      <c r="G10" s="2">
        <v>867692250</v>
      </c>
      <c r="H10" s="2">
        <v>898061478.75</v>
      </c>
      <c r="I10" s="2">
        <v>929493630.51</v>
      </c>
      <c r="J10" s="2">
        <f>E10*((1+K10)^5)</f>
        <v>962025907.57</v>
      </c>
      <c r="K10" s="3">
        <v>0.035</v>
      </c>
    </row>
    <row r="11" spans="1:11">
      <c r="A11" t="s">
        <v>81</v>
      </c>
      <c r="B11" t="s">
        <v>89</v>
      </c>
      <c r="C11" t="s">
        <v>83</v>
      </c>
      <c r="D11" t="s">
        <v>85</v>
      </c>
      <c r="E11" s="2">
        <v>607500000</v>
      </c>
      <c r="F11" s="2">
        <v>628762500</v>
      </c>
      <c r="G11" s="2">
        <v>650769187.5</v>
      </c>
      <c r="H11" s="2">
        <v>673546109.0599999</v>
      </c>
      <c r="I11" s="2">
        <v>697120222.88</v>
      </c>
      <c r="J11" s="2">
        <f>E11*((1+K11)^5)</f>
        <v>721519430.68</v>
      </c>
      <c r="K11" s="3">
        <v>0.035</v>
      </c>
    </row>
    <row r="12" spans="1:11">
      <c r="A12" t="s">
        <v>81</v>
      </c>
      <c r="B12" t="s">
        <v>89</v>
      </c>
      <c r="C12" t="s">
        <v>83</v>
      </c>
      <c r="D12" t="s">
        <v>86</v>
      </c>
      <c r="E12" s="2">
        <v>445500000</v>
      </c>
      <c r="F12" s="2">
        <v>461092500</v>
      </c>
      <c r="G12" s="2">
        <v>477230737.5</v>
      </c>
      <c r="H12" s="2">
        <v>493933813.31</v>
      </c>
      <c r="I12" s="2">
        <v>511221496.78</v>
      </c>
      <c r="J12" s="2">
        <f>E12*((1+K12)^5)</f>
        <v>529114249.17</v>
      </c>
      <c r="K12" s="3">
        <v>0.035</v>
      </c>
    </row>
    <row r="13" spans="1:11">
      <c r="A13" t="s">
        <v>81</v>
      </c>
      <c r="B13" t="s">
        <v>89</v>
      </c>
      <c r="C13" t="s">
        <v>83</v>
      </c>
      <c r="D13" t="s">
        <v>87</v>
      </c>
      <c r="E13" s="2">
        <v>162000000</v>
      </c>
      <c r="F13" s="2">
        <v>167670000</v>
      </c>
      <c r="G13" s="2">
        <v>173538450</v>
      </c>
      <c r="H13" s="2">
        <v>179612295.75</v>
      </c>
      <c r="I13" s="2">
        <v>185898726.1</v>
      </c>
      <c r="J13" s="2">
        <f>E13*((1+K13)^5)</f>
        <v>192405181.51</v>
      </c>
      <c r="K13" s="3">
        <v>0.035</v>
      </c>
    </row>
    <row r="14" spans="1:11">
      <c r="A14" t="s">
        <v>81</v>
      </c>
      <c r="B14" t="s">
        <v>89</v>
      </c>
      <c r="C14" t="s">
        <v>88</v>
      </c>
      <c r="D14" t="s">
        <v>84</v>
      </c>
      <c r="E14" s="2">
        <v>168750000</v>
      </c>
      <c r="F14" s="2">
        <v>174656250</v>
      </c>
      <c r="G14" s="2">
        <v>180769218.75</v>
      </c>
      <c r="H14" s="2">
        <v>187096141.41</v>
      </c>
      <c r="I14" s="2">
        <v>193644506.36</v>
      </c>
      <c r="J14" s="2">
        <f>E14*((1+K14)^5)</f>
        <v>200422064.08</v>
      </c>
      <c r="K14" s="3">
        <v>0.035</v>
      </c>
    </row>
    <row r="15" spans="1:11">
      <c r="A15" t="s">
        <v>81</v>
      </c>
      <c r="B15" t="s">
        <v>89</v>
      </c>
      <c r="C15" t="s">
        <v>88</v>
      </c>
      <c r="D15" t="s">
        <v>85</v>
      </c>
      <c r="E15" s="2">
        <v>126562500</v>
      </c>
      <c r="F15" s="2">
        <v>130992187.5</v>
      </c>
      <c r="G15" s="2">
        <v>135576914.06</v>
      </c>
      <c r="H15" s="2">
        <v>140322106.05</v>
      </c>
      <c r="I15" s="2">
        <v>145233379.77</v>
      </c>
      <c r="J15" s="2">
        <f>E15*((1+K15)^5)</f>
        <v>150316548.06</v>
      </c>
      <c r="K15" s="3">
        <v>0.035</v>
      </c>
    </row>
    <row r="16" spans="1:11">
      <c r="A16" t="s">
        <v>81</v>
      </c>
      <c r="B16" t="s">
        <v>89</v>
      </c>
      <c r="C16" t="s">
        <v>88</v>
      </c>
      <c r="D16" t="s">
        <v>86</v>
      </c>
      <c r="E16" s="2">
        <v>92812500</v>
      </c>
      <c r="F16" s="2">
        <v>96060937.5</v>
      </c>
      <c r="G16" s="2">
        <v>99423070.31</v>
      </c>
      <c r="H16" s="2">
        <v>102902877.77</v>
      </c>
      <c r="I16" s="2">
        <v>106504478.5</v>
      </c>
      <c r="J16" s="2">
        <f>E16*((1+K16)^5)</f>
        <v>110232135.24</v>
      </c>
      <c r="K16" s="3">
        <v>0.035</v>
      </c>
    </row>
    <row r="17" spans="1:11">
      <c r="A17" t="s">
        <v>81</v>
      </c>
      <c r="B17" t="s">
        <v>89</v>
      </c>
      <c r="C17" t="s">
        <v>88</v>
      </c>
      <c r="D17" t="s">
        <v>87</v>
      </c>
      <c r="E17" s="2">
        <v>33750000</v>
      </c>
      <c r="F17" s="2">
        <v>34931250</v>
      </c>
      <c r="G17" s="2">
        <v>36153843.75</v>
      </c>
      <c r="H17" s="2">
        <v>37419228.28</v>
      </c>
      <c r="I17" s="2">
        <v>38728901.27</v>
      </c>
      <c r="J17" s="2">
        <f>E17*((1+K17)^5)</f>
        <v>40084412.82</v>
      </c>
      <c r="K17" s="3">
        <v>0.035</v>
      </c>
    </row>
    <row r="18" spans="1:11">
      <c r="A18" t="s">
        <v>81</v>
      </c>
      <c r="B18" t="s">
        <v>90</v>
      </c>
      <c r="C18" t="s">
        <v>83</v>
      </c>
      <c r="D18" t="s">
        <v>84</v>
      </c>
      <c r="E18" s="2">
        <v>1080000000</v>
      </c>
      <c r="F18" s="2">
        <v>1225800000</v>
      </c>
      <c r="G18" s="2">
        <v>1391283000</v>
      </c>
      <c r="H18" s="2">
        <v>1579106205</v>
      </c>
      <c r="I18" s="2">
        <v>1792285542.67</v>
      </c>
      <c r="J18" s="2">
        <f>E18*((1+K18)^5)</f>
        <v>2034244090.94</v>
      </c>
      <c r="K18" s="3">
        <v>0.135</v>
      </c>
    </row>
    <row r="19" spans="1:11">
      <c r="A19" t="s">
        <v>81</v>
      </c>
      <c r="B19" t="s">
        <v>90</v>
      </c>
      <c r="C19" t="s">
        <v>83</v>
      </c>
      <c r="D19" t="s">
        <v>85</v>
      </c>
      <c r="E19" s="2">
        <v>810000000</v>
      </c>
      <c r="F19" s="2">
        <v>919350000</v>
      </c>
      <c r="G19" s="2">
        <v>1043462250</v>
      </c>
      <c r="H19" s="2">
        <v>1184329653.75</v>
      </c>
      <c r="I19" s="2">
        <v>1344214157.01</v>
      </c>
      <c r="J19" s="2">
        <f>E19*((1+K19)^5)</f>
        <v>1525683068.2</v>
      </c>
      <c r="K19" s="3">
        <v>0.135</v>
      </c>
    </row>
    <row r="20" spans="1:11">
      <c r="A20" t="s">
        <v>81</v>
      </c>
      <c r="B20" t="s">
        <v>90</v>
      </c>
      <c r="C20" t="s">
        <v>83</v>
      </c>
      <c r="D20" t="s">
        <v>86</v>
      </c>
      <c r="E20" s="2">
        <v>594000000</v>
      </c>
      <c r="F20" s="2">
        <v>674190000</v>
      </c>
      <c r="G20" s="2">
        <v>765205650</v>
      </c>
      <c r="H20" s="2">
        <v>868508412.75</v>
      </c>
      <c r="I20" s="2">
        <v>985757048.47</v>
      </c>
      <c r="J20" s="2">
        <f>E20*((1+K20)^5)</f>
        <v>1118834250.01</v>
      </c>
      <c r="K20" s="3">
        <v>0.135</v>
      </c>
    </row>
    <row r="21" spans="1:11">
      <c r="A21" t="s">
        <v>81</v>
      </c>
      <c r="B21" t="s">
        <v>90</v>
      </c>
      <c r="C21" t="s">
        <v>83</v>
      </c>
      <c r="D21" t="s">
        <v>87</v>
      </c>
      <c r="E21" s="2">
        <v>216000000</v>
      </c>
      <c r="F21" s="2">
        <v>245160000</v>
      </c>
      <c r="G21" s="2">
        <v>278256600</v>
      </c>
      <c r="H21" s="2">
        <v>315821241</v>
      </c>
      <c r="I21" s="2">
        <v>358457108.53</v>
      </c>
      <c r="J21" s="2">
        <f>E21*((1+K21)^5)</f>
        <v>406848818.19</v>
      </c>
      <c r="K21" s="3">
        <v>0.135</v>
      </c>
    </row>
    <row r="22" spans="1:11">
      <c r="A22" t="s">
        <v>81</v>
      </c>
      <c r="B22" t="s">
        <v>90</v>
      </c>
      <c r="C22" t="s">
        <v>88</v>
      </c>
      <c r="D22" t="s">
        <v>84</v>
      </c>
      <c r="E22" s="2">
        <v>225000000</v>
      </c>
      <c r="F22" s="2">
        <v>255375000</v>
      </c>
      <c r="G22" s="2">
        <v>289850625</v>
      </c>
      <c r="H22" s="2">
        <v>328980459.38</v>
      </c>
      <c r="I22" s="2">
        <v>373392821.39</v>
      </c>
      <c r="J22" s="2">
        <f>E22*((1+K22)^5)</f>
        <v>423800852.28</v>
      </c>
      <c r="K22" s="3">
        <v>0.135</v>
      </c>
    </row>
    <row r="23" spans="1:11">
      <c r="A23" t="s">
        <v>81</v>
      </c>
      <c r="B23" t="s">
        <v>90</v>
      </c>
      <c r="C23" t="s">
        <v>88</v>
      </c>
      <c r="D23" t="s">
        <v>85</v>
      </c>
      <c r="E23" s="2">
        <v>168750000</v>
      </c>
      <c r="F23" s="2">
        <v>191531250</v>
      </c>
      <c r="G23" s="2">
        <v>217387968.75</v>
      </c>
      <c r="H23" s="2">
        <v>246735344.53</v>
      </c>
      <c r="I23" s="2">
        <v>280044616.04</v>
      </c>
      <c r="J23" s="2">
        <f>E23*((1+K23)^5)</f>
        <v>317850639.21</v>
      </c>
      <c r="K23" s="3">
        <v>0.135</v>
      </c>
    </row>
    <row r="24" spans="1:11">
      <c r="A24" t="s">
        <v>81</v>
      </c>
      <c r="B24" t="s">
        <v>90</v>
      </c>
      <c r="C24" t="s">
        <v>88</v>
      </c>
      <c r="D24" t="s">
        <v>86</v>
      </c>
      <c r="E24" s="2">
        <v>123750000</v>
      </c>
      <c r="F24" s="2">
        <v>140456250</v>
      </c>
      <c r="G24" s="2">
        <v>159417843.75</v>
      </c>
      <c r="H24" s="2">
        <v>180939252.66</v>
      </c>
      <c r="I24" s="2">
        <v>205366051.76</v>
      </c>
      <c r="J24" s="2">
        <f>E24*((1+K24)^5)</f>
        <v>233090468.75</v>
      </c>
      <c r="K24" s="3">
        <v>0.135</v>
      </c>
    </row>
    <row r="25" spans="1:11">
      <c r="A25" t="s">
        <v>81</v>
      </c>
      <c r="B25" t="s">
        <v>90</v>
      </c>
      <c r="C25" t="s">
        <v>88</v>
      </c>
      <c r="D25" t="s">
        <v>87</v>
      </c>
      <c r="E25" s="2">
        <v>45000000</v>
      </c>
      <c r="F25" s="2">
        <v>51075000</v>
      </c>
      <c r="G25" s="2">
        <v>57970125</v>
      </c>
      <c r="H25" s="2">
        <v>65796091.88</v>
      </c>
      <c r="I25" s="2">
        <v>74678564.28</v>
      </c>
      <c r="J25" s="2">
        <f>E25*((1+K25)^5)</f>
        <v>84760170.46</v>
      </c>
      <c r="K25" s="3">
        <v>0.135</v>
      </c>
    </row>
    <row r="26" spans="1:11">
      <c r="A26" t="s">
        <v>91</v>
      </c>
      <c r="B26" t="s">
        <v>82</v>
      </c>
      <c r="C26" t="s">
        <v>83</v>
      </c>
      <c r="D26" t="s">
        <v>84</v>
      </c>
      <c r="E26" s="2">
        <v>4095000000</v>
      </c>
      <c r="F26" s="2">
        <v>4750200000</v>
      </c>
      <c r="G26" s="2">
        <v>5510232000</v>
      </c>
      <c r="H26" s="2">
        <v>6391869120</v>
      </c>
      <c r="I26" s="2">
        <v>7414568179.2</v>
      </c>
      <c r="J26" s="2">
        <f>E26*((1+K26)^5)</f>
        <v>8600899087.87</v>
      </c>
      <c r="K26" s="3">
        <v>0.16</v>
      </c>
    </row>
    <row r="27" spans="1:11">
      <c r="A27" t="s">
        <v>91</v>
      </c>
      <c r="B27" t="s">
        <v>82</v>
      </c>
      <c r="C27" t="s">
        <v>83</v>
      </c>
      <c r="D27" t="s">
        <v>85</v>
      </c>
      <c r="E27" s="2">
        <v>3071250000</v>
      </c>
      <c r="F27" s="2">
        <v>3562650000</v>
      </c>
      <c r="G27" s="2">
        <v>4132674000</v>
      </c>
      <c r="H27" s="2">
        <v>4793901840</v>
      </c>
      <c r="I27" s="2">
        <v>5560926134.4</v>
      </c>
      <c r="J27" s="2">
        <f>E27*((1+K27)^5)</f>
        <v>6450674315.9</v>
      </c>
      <c r="K27" s="3">
        <v>0.16</v>
      </c>
    </row>
    <row r="28" spans="1:11">
      <c r="A28" t="s">
        <v>91</v>
      </c>
      <c r="B28" t="s">
        <v>82</v>
      </c>
      <c r="C28" t="s">
        <v>83</v>
      </c>
      <c r="D28" t="s">
        <v>86</v>
      </c>
      <c r="E28" s="2">
        <v>2252250000</v>
      </c>
      <c r="F28" s="2">
        <v>2612610000</v>
      </c>
      <c r="G28" s="2">
        <v>3030627600</v>
      </c>
      <c r="H28" s="2">
        <v>3515528016</v>
      </c>
      <c r="I28" s="2">
        <v>4078012498.56</v>
      </c>
      <c r="J28" s="2">
        <f>E28*((1+K28)^5)</f>
        <v>4730494498.33</v>
      </c>
      <c r="K28" s="3">
        <v>0.16</v>
      </c>
    </row>
    <row r="29" spans="1:11">
      <c r="A29" t="s">
        <v>91</v>
      </c>
      <c r="B29" t="s">
        <v>82</v>
      </c>
      <c r="C29" t="s">
        <v>83</v>
      </c>
      <c r="D29" t="s">
        <v>87</v>
      </c>
      <c r="E29" s="2">
        <v>819000000</v>
      </c>
      <c r="F29" s="2">
        <v>950040000</v>
      </c>
      <c r="G29" s="2">
        <v>1102046400</v>
      </c>
      <c r="H29" s="2">
        <v>1278373824</v>
      </c>
      <c r="I29" s="2">
        <v>1482913635.84</v>
      </c>
      <c r="J29" s="2">
        <f>E29*((1+K29)^5)</f>
        <v>1720179817.57</v>
      </c>
      <c r="K29" s="3">
        <v>0.16</v>
      </c>
    </row>
    <row r="30" spans="1:11">
      <c r="A30" t="s">
        <v>91</v>
      </c>
      <c r="B30" t="s">
        <v>82</v>
      </c>
      <c r="C30" t="s">
        <v>88</v>
      </c>
      <c r="D30" t="s">
        <v>84</v>
      </c>
      <c r="E30" s="2">
        <v>853125000</v>
      </c>
      <c r="F30" s="2">
        <v>989625000</v>
      </c>
      <c r="G30" s="2">
        <v>1147965000</v>
      </c>
      <c r="H30" s="2">
        <v>1331639400</v>
      </c>
      <c r="I30" s="2">
        <v>1544701704</v>
      </c>
      <c r="J30" s="2">
        <f>E30*((1+K30)^5)</f>
        <v>1791853976.64</v>
      </c>
      <c r="K30" s="3">
        <v>0.16</v>
      </c>
    </row>
    <row r="31" spans="1:11">
      <c r="A31" t="s">
        <v>91</v>
      </c>
      <c r="B31" t="s">
        <v>82</v>
      </c>
      <c r="C31" t="s">
        <v>88</v>
      </c>
      <c r="D31" t="s">
        <v>85</v>
      </c>
      <c r="E31" s="2">
        <v>639843750</v>
      </c>
      <c r="F31" s="2">
        <v>742218750</v>
      </c>
      <c r="G31" s="2">
        <v>860973750</v>
      </c>
      <c r="H31" s="2">
        <v>998729550</v>
      </c>
      <c r="I31" s="2">
        <v>1158526278</v>
      </c>
      <c r="J31" s="2">
        <f>E31*((1+K31)^5)</f>
        <v>1343890482.48</v>
      </c>
      <c r="K31" s="3">
        <v>0.16</v>
      </c>
    </row>
    <row r="32" spans="1:11">
      <c r="A32" t="s">
        <v>91</v>
      </c>
      <c r="B32" t="s">
        <v>82</v>
      </c>
      <c r="C32" t="s">
        <v>88</v>
      </c>
      <c r="D32" t="s">
        <v>86</v>
      </c>
      <c r="E32" s="2">
        <v>469218750</v>
      </c>
      <c r="F32" s="2">
        <v>544293750</v>
      </c>
      <c r="G32" s="2">
        <v>631380750</v>
      </c>
      <c r="H32" s="2">
        <v>732401670</v>
      </c>
      <c r="I32" s="2">
        <v>849585937.2</v>
      </c>
      <c r="J32" s="2">
        <f>E32*((1+K32)^5)</f>
        <v>985519687.15</v>
      </c>
      <c r="K32" s="3">
        <v>0.16</v>
      </c>
    </row>
    <row r="33" spans="1:11">
      <c r="A33" t="s">
        <v>91</v>
      </c>
      <c r="B33" t="s">
        <v>82</v>
      </c>
      <c r="C33" t="s">
        <v>88</v>
      </c>
      <c r="D33" t="s">
        <v>87</v>
      </c>
      <c r="E33" s="2">
        <v>170625000</v>
      </c>
      <c r="F33" s="2">
        <v>197925000</v>
      </c>
      <c r="G33" s="2">
        <v>229593000</v>
      </c>
      <c r="H33" s="2">
        <v>266327880</v>
      </c>
      <c r="I33" s="2">
        <v>308940340.8</v>
      </c>
      <c r="J33" s="2">
        <f>E33*((1+K33)^5)</f>
        <v>358370795.33</v>
      </c>
      <c r="K33" s="3">
        <v>0.16</v>
      </c>
    </row>
    <row r="34" spans="1:11">
      <c r="A34" t="s">
        <v>91</v>
      </c>
      <c r="B34" t="s">
        <v>89</v>
      </c>
      <c r="C34" t="s">
        <v>83</v>
      </c>
      <c r="D34" t="s">
        <v>84</v>
      </c>
      <c r="E34" s="2">
        <v>945000000</v>
      </c>
      <c r="F34" s="2">
        <v>968625000</v>
      </c>
      <c r="G34" s="2">
        <v>992840625</v>
      </c>
      <c r="H34" s="2">
        <v>1017661640.62</v>
      </c>
      <c r="I34" s="2">
        <v>1043103181.64</v>
      </c>
      <c r="J34" s="2">
        <f>E34*((1+K34)^5)</f>
        <v>1069180761.18</v>
      </c>
      <c r="K34" s="3">
        <v>0.025</v>
      </c>
    </row>
    <row r="35" spans="1:11">
      <c r="A35" t="s">
        <v>91</v>
      </c>
      <c r="B35" t="s">
        <v>89</v>
      </c>
      <c r="C35" t="s">
        <v>83</v>
      </c>
      <c r="D35" t="s">
        <v>85</v>
      </c>
      <c r="E35" s="2">
        <v>708750000</v>
      </c>
      <c r="F35" s="2">
        <v>726468750</v>
      </c>
      <c r="G35" s="2">
        <v>744630468.75</v>
      </c>
      <c r="H35" s="2">
        <v>763246230.47</v>
      </c>
      <c r="I35" s="2">
        <v>782327386.23</v>
      </c>
      <c r="J35" s="2">
        <f>E35*((1+K35)^5)</f>
        <v>801885570.89</v>
      </c>
      <c r="K35" s="3">
        <v>0.025</v>
      </c>
    </row>
    <row r="36" spans="1:11">
      <c r="A36" t="s">
        <v>91</v>
      </c>
      <c r="B36" t="s">
        <v>89</v>
      </c>
      <c r="C36" t="s">
        <v>83</v>
      </c>
      <c r="D36" t="s">
        <v>86</v>
      </c>
      <c r="E36" s="2">
        <v>519750000</v>
      </c>
      <c r="F36" s="2">
        <v>532743750</v>
      </c>
      <c r="G36" s="2">
        <v>546062343.75</v>
      </c>
      <c r="H36" s="2">
        <v>559713902.34</v>
      </c>
      <c r="I36" s="2">
        <v>573706749.9</v>
      </c>
      <c r="J36" s="2">
        <f>E36*((1+K36)^5)</f>
        <v>588049418.65</v>
      </c>
      <c r="K36" s="3">
        <v>0.025</v>
      </c>
    </row>
    <row r="37" spans="1:11">
      <c r="A37" t="s">
        <v>91</v>
      </c>
      <c r="B37" t="s">
        <v>89</v>
      </c>
      <c r="C37" t="s">
        <v>83</v>
      </c>
      <c r="D37" t="s">
        <v>87</v>
      </c>
      <c r="E37" s="2">
        <v>189000000</v>
      </c>
      <c r="F37" s="2">
        <v>193725000</v>
      </c>
      <c r="G37" s="2">
        <v>198568125</v>
      </c>
      <c r="H37" s="2">
        <v>203532328.12</v>
      </c>
      <c r="I37" s="2">
        <v>208620636.33</v>
      </c>
      <c r="J37" s="2">
        <f>E37*((1+K37)^5)</f>
        <v>213836152.24</v>
      </c>
      <c r="K37" s="3">
        <v>0.025</v>
      </c>
    </row>
    <row r="38" spans="1:11">
      <c r="A38" t="s">
        <v>91</v>
      </c>
      <c r="B38" t="s">
        <v>89</v>
      </c>
      <c r="C38" t="s">
        <v>88</v>
      </c>
      <c r="D38" t="s">
        <v>84</v>
      </c>
      <c r="E38" s="2">
        <v>196875000</v>
      </c>
      <c r="F38" s="2">
        <v>201796875</v>
      </c>
      <c r="G38" s="2">
        <v>206841796.87</v>
      </c>
      <c r="H38" s="2">
        <v>212012841.8</v>
      </c>
      <c r="I38" s="2">
        <v>217313162.84</v>
      </c>
      <c r="J38" s="2">
        <f>E38*((1+K38)^5)</f>
        <v>222745991.91</v>
      </c>
      <c r="K38" s="3">
        <v>0.025</v>
      </c>
    </row>
    <row r="39" spans="1:11">
      <c r="A39" t="s">
        <v>91</v>
      </c>
      <c r="B39" t="s">
        <v>89</v>
      </c>
      <c r="C39" t="s">
        <v>88</v>
      </c>
      <c r="D39" t="s">
        <v>85</v>
      </c>
      <c r="E39" s="2">
        <v>147656250</v>
      </c>
      <c r="F39" s="2">
        <v>151347656.25</v>
      </c>
      <c r="G39" s="2">
        <v>155131347.66</v>
      </c>
      <c r="H39" s="2">
        <v>159009631.35</v>
      </c>
      <c r="I39" s="2">
        <v>162984872.13</v>
      </c>
      <c r="J39" s="2">
        <f>E39*((1+K39)^5)</f>
        <v>167059493.93</v>
      </c>
      <c r="K39" s="3">
        <v>0.025</v>
      </c>
    </row>
    <row r="40" spans="1:11">
      <c r="A40" t="s">
        <v>91</v>
      </c>
      <c r="B40" t="s">
        <v>89</v>
      </c>
      <c r="C40" t="s">
        <v>88</v>
      </c>
      <c r="D40" t="s">
        <v>86</v>
      </c>
      <c r="E40" s="2">
        <v>108281250</v>
      </c>
      <c r="F40" s="2">
        <v>110988281.25</v>
      </c>
      <c r="G40" s="2">
        <v>113762988.28</v>
      </c>
      <c r="H40" s="2">
        <v>116607062.99</v>
      </c>
      <c r="I40" s="2">
        <v>119522239.56</v>
      </c>
      <c r="J40" s="2">
        <f>E40*((1+K40)^5)</f>
        <v>122510295.55</v>
      </c>
      <c r="K40" s="3">
        <v>0.025</v>
      </c>
    </row>
    <row r="41" spans="1:11">
      <c r="A41" t="s">
        <v>91</v>
      </c>
      <c r="B41" t="s">
        <v>89</v>
      </c>
      <c r="C41" t="s">
        <v>88</v>
      </c>
      <c r="D41" t="s">
        <v>87</v>
      </c>
      <c r="E41" s="2">
        <v>39375000</v>
      </c>
      <c r="F41" s="2">
        <v>40359375</v>
      </c>
      <c r="G41" s="2">
        <v>41368359.38</v>
      </c>
      <c r="H41" s="2">
        <v>42402568.36</v>
      </c>
      <c r="I41" s="2">
        <v>43462632.57</v>
      </c>
      <c r="J41" s="2">
        <f>E41*((1+K41)^5)</f>
        <v>44549198.38</v>
      </c>
      <c r="K41" s="3">
        <v>0.025</v>
      </c>
    </row>
    <row r="42" spans="1:11">
      <c r="A42" t="s">
        <v>91</v>
      </c>
      <c r="B42" t="s">
        <v>90</v>
      </c>
      <c r="C42" t="s">
        <v>83</v>
      </c>
      <c r="D42" t="s">
        <v>84</v>
      </c>
      <c r="E42" s="2">
        <v>1260000000</v>
      </c>
      <c r="F42" s="2">
        <v>1417500000</v>
      </c>
      <c r="G42" s="2">
        <v>1594687500</v>
      </c>
      <c r="H42" s="2">
        <v>1794023437.5</v>
      </c>
      <c r="I42" s="2">
        <v>2018276367.19</v>
      </c>
      <c r="J42" s="2">
        <f>E42*((1+K42)^5)</f>
        <v>2270560913.09</v>
      </c>
      <c r="K42" s="3">
        <v>0.125</v>
      </c>
    </row>
    <row r="43" spans="1:11">
      <c r="A43" t="s">
        <v>91</v>
      </c>
      <c r="B43" t="s">
        <v>90</v>
      </c>
      <c r="C43" t="s">
        <v>83</v>
      </c>
      <c r="D43" t="s">
        <v>85</v>
      </c>
      <c r="E43" s="2">
        <v>945000000</v>
      </c>
      <c r="F43" s="2">
        <v>1063125000</v>
      </c>
      <c r="G43" s="2">
        <v>1196015625</v>
      </c>
      <c r="H43" s="2">
        <v>1345517578.12</v>
      </c>
      <c r="I43" s="2">
        <v>1513707275.39</v>
      </c>
      <c r="J43" s="2">
        <f>E43*((1+K43)^5)</f>
        <v>1702920684.81</v>
      </c>
      <c r="K43" s="3">
        <v>0.125</v>
      </c>
    </row>
    <row r="44" spans="1:11">
      <c r="A44" t="s">
        <v>91</v>
      </c>
      <c r="B44" t="s">
        <v>90</v>
      </c>
      <c r="C44" t="s">
        <v>83</v>
      </c>
      <c r="D44" t="s">
        <v>86</v>
      </c>
      <c r="E44" s="2">
        <v>693000000</v>
      </c>
      <c r="F44" s="2">
        <v>779625000</v>
      </c>
      <c r="G44" s="2">
        <v>877078125</v>
      </c>
      <c r="H44" s="2">
        <v>986712890.62</v>
      </c>
      <c r="I44" s="2">
        <v>1110052001.95</v>
      </c>
      <c r="J44" s="2">
        <f>E44*((1+K44)^5)</f>
        <v>1248808502.2</v>
      </c>
      <c r="K44" s="3">
        <v>0.125</v>
      </c>
    </row>
    <row r="45" spans="1:11">
      <c r="A45" t="s">
        <v>91</v>
      </c>
      <c r="B45" t="s">
        <v>90</v>
      </c>
      <c r="C45" t="s">
        <v>83</v>
      </c>
      <c r="D45" t="s">
        <v>87</v>
      </c>
      <c r="E45" s="2">
        <v>252000000</v>
      </c>
      <c r="F45" s="2">
        <v>283500000</v>
      </c>
      <c r="G45" s="2">
        <v>318937500</v>
      </c>
      <c r="H45" s="2">
        <v>358804687.5</v>
      </c>
      <c r="I45" s="2">
        <v>403655273.44</v>
      </c>
      <c r="J45" s="2">
        <f>E45*((1+K45)^5)</f>
        <v>454112182.62</v>
      </c>
      <c r="K45" s="3">
        <v>0.125</v>
      </c>
    </row>
    <row r="46" spans="1:11">
      <c r="A46" t="s">
        <v>91</v>
      </c>
      <c r="B46" t="s">
        <v>90</v>
      </c>
      <c r="C46" t="s">
        <v>88</v>
      </c>
      <c r="D46" t="s">
        <v>84</v>
      </c>
      <c r="E46" s="2">
        <v>262500000</v>
      </c>
      <c r="F46" s="2">
        <v>295312500</v>
      </c>
      <c r="G46" s="2">
        <v>332226562.5</v>
      </c>
      <c r="H46" s="2">
        <v>373754882.81</v>
      </c>
      <c r="I46" s="2">
        <v>420474243.16</v>
      </c>
      <c r="J46" s="2">
        <f>E46*((1+K46)^5)</f>
        <v>473033523.56</v>
      </c>
      <c r="K46" s="3">
        <v>0.125</v>
      </c>
    </row>
    <row r="47" spans="1:11">
      <c r="A47" t="s">
        <v>91</v>
      </c>
      <c r="B47" t="s">
        <v>90</v>
      </c>
      <c r="C47" t="s">
        <v>88</v>
      </c>
      <c r="D47" t="s">
        <v>85</v>
      </c>
      <c r="E47" s="2">
        <v>196875000</v>
      </c>
      <c r="F47" s="2">
        <v>221484375</v>
      </c>
      <c r="G47" s="2">
        <v>249169921.88</v>
      </c>
      <c r="H47" s="2">
        <v>280316162.11</v>
      </c>
      <c r="I47" s="2">
        <v>315355682.37</v>
      </c>
      <c r="J47" s="2">
        <f>E47*((1+K47)^5)</f>
        <v>354775142.67</v>
      </c>
      <c r="K47" s="3">
        <v>0.125</v>
      </c>
    </row>
    <row r="48" spans="1:11">
      <c r="A48" t="s">
        <v>91</v>
      </c>
      <c r="B48" t="s">
        <v>90</v>
      </c>
      <c r="C48" t="s">
        <v>88</v>
      </c>
      <c r="D48" t="s">
        <v>86</v>
      </c>
      <c r="E48" s="2">
        <v>144375000</v>
      </c>
      <c r="F48" s="2">
        <v>162421875</v>
      </c>
      <c r="G48" s="2">
        <v>182724609.38</v>
      </c>
      <c r="H48" s="2">
        <v>205565185.55</v>
      </c>
      <c r="I48" s="2">
        <v>231260833.74</v>
      </c>
      <c r="J48" s="2">
        <f>E48*((1+K48)^5)</f>
        <v>260168437.96</v>
      </c>
      <c r="K48" s="3">
        <v>0.125</v>
      </c>
    </row>
    <row r="49" spans="1:11">
      <c r="A49" t="s">
        <v>91</v>
      </c>
      <c r="B49" t="s">
        <v>90</v>
      </c>
      <c r="C49" t="s">
        <v>88</v>
      </c>
      <c r="D49" t="s">
        <v>87</v>
      </c>
      <c r="E49" s="2">
        <v>52500000</v>
      </c>
      <c r="F49" s="2">
        <v>59062500</v>
      </c>
      <c r="G49" s="2">
        <v>66445312.5</v>
      </c>
      <c r="H49" s="2">
        <v>74750976.56</v>
      </c>
      <c r="I49" s="2">
        <v>84094848.63</v>
      </c>
      <c r="J49" s="2">
        <f>E49*((1+K49)^5)</f>
        <v>94606704.71</v>
      </c>
      <c r="K49" s="3">
        <v>0.125</v>
      </c>
    </row>
    <row r="50" spans="1:11">
      <c r="A50" t="s">
        <v>92</v>
      </c>
      <c r="B50" t="s">
        <v>82</v>
      </c>
      <c r="C50" t="s">
        <v>83</v>
      </c>
      <c r="D50" t="s">
        <v>84</v>
      </c>
      <c r="E50" s="2">
        <v>1170000000</v>
      </c>
      <c r="F50" s="2">
        <v>1444950000</v>
      </c>
      <c r="G50" s="2">
        <v>1784513250</v>
      </c>
      <c r="H50" s="2">
        <v>2203873863.75</v>
      </c>
      <c r="I50" s="2">
        <v>2721784221.73</v>
      </c>
      <c r="J50" s="2">
        <f>E50*((1+K50)^5)</f>
        <v>3361403513.84</v>
      </c>
      <c r="K50" s="3">
        <v>0.235</v>
      </c>
    </row>
    <row r="51" spans="1:11">
      <c r="A51" t="s">
        <v>92</v>
      </c>
      <c r="B51" t="s">
        <v>82</v>
      </c>
      <c r="C51" t="s">
        <v>83</v>
      </c>
      <c r="D51" t="s">
        <v>85</v>
      </c>
      <c r="E51" s="2">
        <v>877500000</v>
      </c>
      <c r="F51" s="2">
        <v>1083712500</v>
      </c>
      <c r="G51" s="2">
        <v>1338384937.5</v>
      </c>
      <c r="H51" s="2">
        <v>1652905397.81</v>
      </c>
      <c r="I51" s="2">
        <v>2041338166.3</v>
      </c>
      <c r="J51" s="2">
        <f>E51*((1+K51)^5)</f>
        <v>2521052635.38</v>
      </c>
      <c r="K51" s="3">
        <v>0.235</v>
      </c>
    </row>
    <row r="52" spans="1:11">
      <c r="A52" t="s">
        <v>92</v>
      </c>
      <c r="B52" t="s">
        <v>82</v>
      </c>
      <c r="C52" t="s">
        <v>83</v>
      </c>
      <c r="D52" t="s">
        <v>86</v>
      </c>
      <c r="E52" s="2">
        <v>643500000</v>
      </c>
      <c r="F52" s="2">
        <v>794722500</v>
      </c>
      <c r="G52" s="2">
        <v>981482287.5</v>
      </c>
      <c r="H52" s="2">
        <v>1212130625.06</v>
      </c>
      <c r="I52" s="2">
        <v>1496981321.95</v>
      </c>
      <c r="J52" s="2">
        <f>E52*((1+K52)^5)</f>
        <v>1848771932.61</v>
      </c>
      <c r="K52" s="3">
        <v>0.235</v>
      </c>
    </row>
    <row r="53" spans="1:11">
      <c r="A53" t="s">
        <v>92</v>
      </c>
      <c r="B53" t="s">
        <v>82</v>
      </c>
      <c r="C53" t="s">
        <v>83</v>
      </c>
      <c r="D53" t="s">
        <v>87</v>
      </c>
      <c r="E53" s="2">
        <v>234000000</v>
      </c>
      <c r="F53" s="2">
        <v>288990000</v>
      </c>
      <c r="G53" s="2">
        <v>356902650</v>
      </c>
      <c r="H53" s="2">
        <v>440774772.75</v>
      </c>
      <c r="I53" s="2">
        <v>544356844.35</v>
      </c>
      <c r="J53" s="2">
        <f>E53*((1+K53)^5)</f>
        <v>672280702.77</v>
      </c>
      <c r="K53" s="3">
        <v>0.235</v>
      </c>
    </row>
    <row r="54" spans="1:11">
      <c r="A54" t="s">
        <v>92</v>
      </c>
      <c r="B54" t="s">
        <v>82</v>
      </c>
      <c r="C54" t="s">
        <v>88</v>
      </c>
      <c r="D54" t="s">
        <v>84</v>
      </c>
      <c r="E54" s="2">
        <v>243750000</v>
      </c>
      <c r="F54" s="2">
        <v>301031250</v>
      </c>
      <c r="G54" s="2">
        <v>371773593.75</v>
      </c>
      <c r="H54" s="2">
        <v>459140388.28</v>
      </c>
      <c r="I54" s="2">
        <v>567038379.53</v>
      </c>
      <c r="J54" s="2">
        <f>E54*((1+K54)^5)</f>
        <v>700292398.72</v>
      </c>
      <c r="K54" s="3">
        <v>0.235</v>
      </c>
    </row>
    <row r="55" spans="1:11">
      <c r="A55" t="s">
        <v>92</v>
      </c>
      <c r="B55" t="s">
        <v>82</v>
      </c>
      <c r="C55" t="s">
        <v>88</v>
      </c>
      <c r="D55" t="s">
        <v>85</v>
      </c>
      <c r="E55" s="2">
        <v>182812500</v>
      </c>
      <c r="F55" s="2">
        <v>225773437.5</v>
      </c>
      <c r="G55" s="2">
        <v>278830195.31</v>
      </c>
      <c r="H55" s="2">
        <v>344355291.21</v>
      </c>
      <c r="I55" s="2">
        <v>425278784.65</v>
      </c>
      <c r="J55" s="2">
        <f>E55*((1+K55)^5)</f>
        <v>525219299.04</v>
      </c>
      <c r="K55" s="3">
        <v>0.235</v>
      </c>
    </row>
    <row r="56" spans="1:11">
      <c r="A56" t="s">
        <v>92</v>
      </c>
      <c r="B56" t="s">
        <v>82</v>
      </c>
      <c r="C56" t="s">
        <v>88</v>
      </c>
      <c r="D56" t="s">
        <v>86</v>
      </c>
      <c r="E56" s="2">
        <v>134062500</v>
      </c>
      <c r="F56" s="2">
        <v>165567187.5</v>
      </c>
      <c r="G56" s="2">
        <v>204475476.56</v>
      </c>
      <c r="H56" s="2">
        <v>252527213.55</v>
      </c>
      <c r="I56" s="2">
        <v>311871108.74</v>
      </c>
      <c r="J56" s="2">
        <f>E56*((1+K56)^5)</f>
        <v>385160819.29</v>
      </c>
      <c r="K56" s="3">
        <v>0.235</v>
      </c>
    </row>
    <row r="57" spans="1:11">
      <c r="A57" t="s">
        <v>92</v>
      </c>
      <c r="B57" t="s">
        <v>82</v>
      </c>
      <c r="C57" t="s">
        <v>88</v>
      </c>
      <c r="D57" t="s">
        <v>87</v>
      </c>
      <c r="E57" s="2">
        <v>48750000</v>
      </c>
      <c r="F57" s="2">
        <v>60206250</v>
      </c>
      <c r="G57" s="2">
        <v>74354718.75</v>
      </c>
      <c r="H57" s="2">
        <v>91828077.66</v>
      </c>
      <c r="I57" s="2">
        <v>113407675.91</v>
      </c>
      <c r="J57" s="2">
        <f>E57*((1+K57)^5)</f>
        <v>140058479.74</v>
      </c>
      <c r="K57" s="3">
        <v>0.235</v>
      </c>
    </row>
    <row r="58" spans="1:11">
      <c r="A58" t="s">
        <v>92</v>
      </c>
      <c r="B58" t="s">
        <v>89</v>
      </c>
      <c r="C58" t="s">
        <v>83</v>
      </c>
      <c r="D58" t="s">
        <v>84</v>
      </c>
      <c r="E58" s="2">
        <v>270000000</v>
      </c>
      <c r="F58" s="2">
        <v>297000000</v>
      </c>
      <c r="G58" s="2">
        <v>326700000</v>
      </c>
      <c r="H58" s="2">
        <v>359370000</v>
      </c>
      <c r="I58" s="2">
        <v>395307000</v>
      </c>
      <c r="J58" s="2">
        <f>E58*((1+K58)^5)</f>
        <v>434837700.0</v>
      </c>
      <c r="K58" s="3">
        <v>0.1</v>
      </c>
    </row>
    <row r="59" spans="1:11">
      <c r="A59" t="s">
        <v>92</v>
      </c>
      <c r="B59" t="s">
        <v>89</v>
      </c>
      <c r="C59" t="s">
        <v>83</v>
      </c>
      <c r="D59" t="s">
        <v>85</v>
      </c>
      <c r="E59" s="2">
        <v>202500000</v>
      </c>
      <c r="F59" s="2">
        <v>222750000</v>
      </c>
      <c r="G59" s="2">
        <v>245025000</v>
      </c>
      <c r="H59" s="2">
        <v>269527500</v>
      </c>
      <c r="I59" s="2">
        <v>296480250</v>
      </c>
      <c r="J59" s="2">
        <f>E59*((1+K59)^5)</f>
        <v>326128275.0</v>
      </c>
      <c r="K59" s="3">
        <v>0.1</v>
      </c>
    </row>
    <row r="60" spans="1:11">
      <c r="A60" t="s">
        <v>92</v>
      </c>
      <c r="B60" t="s">
        <v>89</v>
      </c>
      <c r="C60" t="s">
        <v>83</v>
      </c>
      <c r="D60" t="s">
        <v>86</v>
      </c>
      <c r="E60" s="2">
        <v>148500000</v>
      </c>
      <c r="F60" s="2">
        <v>163350000</v>
      </c>
      <c r="G60" s="2">
        <v>179685000</v>
      </c>
      <c r="H60" s="2">
        <v>197653500</v>
      </c>
      <c r="I60" s="2">
        <v>217418850</v>
      </c>
      <c r="J60" s="2">
        <f>E60*((1+K60)^5)</f>
        <v>239160735.0</v>
      </c>
      <c r="K60" s="3">
        <v>0.1</v>
      </c>
    </row>
    <row r="61" spans="1:11">
      <c r="A61" t="s">
        <v>92</v>
      </c>
      <c r="B61" t="s">
        <v>89</v>
      </c>
      <c r="C61" t="s">
        <v>83</v>
      </c>
      <c r="D61" t="s">
        <v>87</v>
      </c>
      <c r="E61" s="2">
        <v>54000000</v>
      </c>
      <c r="F61" s="2">
        <v>59400000</v>
      </c>
      <c r="G61" s="2">
        <v>65340000</v>
      </c>
      <c r="H61" s="2">
        <v>71874000</v>
      </c>
      <c r="I61" s="2">
        <v>79061400</v>
      </c>
      <c r="J61" s="2">
        <f>E61*((1+K61)^5)</f>
        <v>86967540.0</v>
      </c>
      <c r="K61" s="3">
        <v>0.1</v>
      </c>
    </row>
    <row r="62" spans="1:11">
      <c r="A62" t="s">
        <v>92</v>
      </c>
      <c r="B62" t="s">
        <v>89</v>
      </c>
      <c r="C62" t="s">
        <v>88</v>
      </c>
      <c r="D62" t="s">
        <v>84</v>
      </c>
      <c r="E62" s="2">
        <v>56250000</v>
      </c>
      <c r="F62" s="2">
        <v>61875000</v>
      </c>
      <c r="G62" s="2">
        <v>68062500</v>
      </c>
      <c r="H62" s="2">
        <v>74868750</v>
      </c>
      <c r="I62" s="2">
        <v>82355625</v>
      </c>
      <c r="J62" s="2">
        <f>E62*((1+K62)^5)</f>
        <v>90591187.5</v>
      </c>
      <c r="K62" s="3">
        <v>0.1</v>
      </c>
    </row>
    <row r="63" spans="1:11">
      <c r="A63" t="s">
        <v>92</v>
      </c>
      <c r="B63" t="s">
        <v>89</v>
      </c>
      <c r="C63" t="s">
        <v>88</v>
      </c>
      <c r="D63" t="s">
        <v>85</v>
      </c>
      <c r="E63" s="2">
        <v>42187500</v>
      </c>
      <c r="F63" s="2">
        <v>46406250</v>
      </c>
      <c r="G63" s="2">
        <v>51046875</v>
      </c>
      <c r="H63" s="2">
        <v>56151562.5</v>
      </c>
      <c r="I63" s="2">
        <v>61766718.75</v>
      </c>
      <c r="J63" s="2">
        <f>E63*((1+K63)^5)</f>
        <v>67943390.63</v>
      </c>
      <c r="K63" s="3">
        <v>0.1</v>
      </c>
    </row>
    <row r="64" spans="1:11">
      <c r="A64" t="s">
        <v>92</v>
      </c>
      <c r="B64" t="s">
        <v>89</v>
      </c>
      <c r="C64" t="s">
        <v>88</v>
      </c>
      <c r="D64" t="s">
        <v>86</v>
      </c>
      <c r="E64" s="2">
        <v>30937500</v>
      </c>
      <c r="F64" s="2">
        <v>34031250</v>
      </c>
      <c r="G64" s="2">
        <v>37434375</v>
      </c>
      <c r="H64" s="2">
        <v>41177812.5</v>
      </c>
      <c r="I64" s="2">
        <v>45295593.75</v>
      </c>
      <c r="J64" s="2">
        <f>E64*((1+K64)^5)</f>
        <v>49825153.13</v>
      </c>
      <c r="K64" s="3">
        <v>0.1</v>
      </c>
    </row>
    <row r="65" spans="1:11">
      <c r="A65" t="s">
        <v>92</v>
      </c>
      <c r="B65" t="s">
        <v>89</v>
      </c>
      <c r="C65" t="s">
        <v>88</v>
      </c>
      <c r="D65" t="s">
        <v>87</v>
      </c>
      <c r="E65" s="2">
        <v>11250000</v>
      </c>
      <c r="F65" s="2">
        <v>12375000</v>
      </c>
      <c r="G65" s="2">
        <v>13612500</v>
      </c>
      <c r="H65" s="2">
        <v>14973750</v>
      </c>
      <c r="I65" s="2">
        <v>16471125</v>
      </c>
      <c r="J65" s="2">
        <f>E65*((1+K65)^5)</f>
        <v>18118237.5</v>
      </c>
      <c r="K65" s="3">
        <v>0.1</v>
      </c>
    </row>
    <row r="66" spans="1:11">
      <c r="A66" t="s">
        <v>92</v>
      </c>
      <c r="B66" t="s">
        <v>90</v>
      </c>
      <c r="C66" t="s">
        <v>83</v>
      </c>
      <c r="D66" t="s">
        <v>84</v>
      </c>
      <c r="E66" s="2">
        <v>360000000</v>
      </c>
      <c r="F66" s="2">
        <v>432000000</v>
      </c>
      <c r="G66" s="2">
        <v>518400000</v>
      </c>
      <c r="H66" s="2">
        <v>622080000</v>
      </c>
      <c r="I66" s="2">
        <v>746496000</v>
      </c>
      <c r="J66" s="2">
        <f>E66*((1+K66)^5)</f>
        <v>895795200.0</v>
      </c>
      <c r="K66" s="3">
        <v>0.2</v>
      </c>
    </row>
    <row r="67" spans="1:11">
      <c r="A67" t="s">
        <v>92</v>
      </c>
      <c r="B67" t="s">
        <v>90</v>
      </c>
      <c r="C67" t="s">
        <v>83</v>
      </c>
      <c r="D67" t="s">
        <v>85</v>
      </c>
      <c r="E67" s="2">
        <v>270000000</v>
      </c>
      <c r="F67" s="2">
        <v>324000000</v>
      </c>
      <c r="G67" s="2">
        <v>388800000</v>
      </c>
      <c r="H67" s="2">
        <v>466560000</v>
      </c>
      <c r="I67" s="2">
        <v>559872000</v>
      </c>
      <c r="J67" s="2">
        <f>E67*((1+K67)^5)</f>
        <v>671846400.0</v>
      </c>
      <c r="K67" s="3">
        <v>0.2</v>
      </c>
    </row>
    <row r="68" spans="1:11">
      <c r="A68" t="s">
        <v>92</v>
      </c>
      <c r="B68" t="s">
        <v>90</v>
      </c>
      <c r="C68" t="s">
        <v>83</v>
      </c>
      <c r="D68" t="s">
        <v>86</v>
      </c>
      <c r="E68" s="2">
        <v>198000000</v>
      </c>
      <c r="F68" s="2">
        <v>237600000</v>
      </c>
      <c r="G68" s="2">
        <v>285120000</v>
      </c>
      <c r="H68" s="2">
        <v>342144000</v>
      </c>
      <c r="I68" s="2">
        <v>410572800</v>
      </c>
      <c r="J68" s="2">
        <f>E68*((1+K68)^5)</f>
        <v>492687360.0</v>
      </c>
      <c r="K68" s="3">
        <v>0.2</v>
      </c>
    </row>
    <row r="69" spans="1:11">
      <c r="A69" t="s">
        <v>92</v>
      </c>
      <c r="B69" t="s">
        <v>90</v>
      </c>
      <c r="C69" t="s">
        <v>83</v>
      </c>
      <c r="D69" t="s">
        <v>87</v>
      </c>
      <c r="E69" s="2">
        <v>72000000</v>
      </c>
      <c r="F69" s="2">
        <v>86400000</v>
      </c>
      <c r="G69" s="2">
        <v>103680000</v>
      </c>
      <c r="H69" s="2">
        <v>124416000</v>
      </c>
      <c r="I69" s="2">
        <v>149299200</v>
      </c>
      <c r="J69" s="2">
        <f>E69*((1+K69)^5)</f>
        <v>179159040.0</v>
      </c>
      <c r="K69" s="3">
        <v>0.2</v>
      </c>
    </row>
    <row r="70" spans="1:11">
      <c r="A70" t="s">
        <v>92</v>
      </c>
      <c r="B70" t="s">
        <v>90</v>
      </c>
      <c r="C70" t="s">
        <v>88</v>
      </c>
      <c r="D70" t="s">
        <v>84</v>
      </c>
      <c r="E70" s="2">
        <v>75000000</v>
      </c>
      <c r="F70" s="2">
        <v>90000000</v>
      </c>
      <c r="G70" s="2">
        <v>108000000</v>
      </c>
      <c r="H70" s="2">
        <v>129600000</v>
      </c>
      <c r="I70" s="2">
        <v>155520000</v>
      </c>
      <c r="J70" s="2">
        <f>E70*((1+K70)^5)</f>
        <v>186624000.0</v>
      </c>
      <c r="K70" s="3">
        <v>0.2</v>
      </c>
    </row>
    <row r="71" spans="1:11">
      <c r="A71" t="s">
        <v>92</v>
      </c>
      <c r="B71" t="s">
        <v>90</v>
      </c>
      <c r="C71" t="s">
        <v>88</v>
      </c>
      <c r="D71" t="s">
        <v>85</v>
      </c>
      <c r="E71" s="2">
        <v>56250000</v>
      </c>
      <c r="F71" s="2">
        <v>67500000</v>
      </c>
      <c r="G71" s="2">
        <v>81000000</v>
      </c>
      <c r="H71" s="2">
        <v>97200000</v>
      </c>
      <c r="I71" s="2">
        <v>116640000</v>
      </c>
      <c r="J71" s="2">
        <f>E71*((1+K71)^5)</f>
        <v>139968000.0</v>
      </c>
      <c r="K71" s="3">
        <v>0.2</v>
      </c>
    </row>
    <row r="72" spans="1:11">
      <c r="A72" t="s">
        <v>92</v>
      </c>
      <c r="B72" t="s">
        <v>90</v>
      </c>
      <c r="C72" t="s">
        <v>88</v>
      </c>
      <c r="D72" t="s">
        <v>86</v>
      </c>
      <c r="E72" s="2">
        <v>41250000</v>
      </c>
      <c r="F72" s="2">
        <v>49500000</v>
      </c>
      <c r="G72" s="2">
        <v>59400000</v>
      </c>
      <c r="H72" s="2">
        <v>71280000</v>
      </c>
      <c r="I72" s="2">
        <v>85536000</v>
      </c>
      <c r="J72" s="2">
        <f>E72*((1+K72)^5)</f>
        <v>102643200.0</v>
      </c>
      <c r="K72" s="3">
        <v>0.2</v>
      </c>
    </row>
    <row r="73" spans="1:11">
      <c r="A73" t="s">
        <v>92</v>
      </c>
      <c r="B73" t="s">
        <v>90</v>
      </c>
      <c r="C73" t="s">
        <v>88</v>
      </c>
      <c r="D73" t="s">
        <v>87</v>
      </c>
      <c r="E73" s="2">
        <v>15000000</v>
      </c>
      <c r="F73" s="2">
        <v>18000000</v>
      </c>
      <c r="G73" s="2">
        <v>21600000</v>
      </c>
      <c r="H73" s="2">
        <v>25920000</v>
      </c>
      <c r="I73" s="2">
        <v>31104000</v>
      </c>
      <c r="J73" s="2">
        <f>E73*((1+K73)^5)</f>
        <v>37324800.0</v>
      </c>
      <c r="K73" s="3">
        <v>0.2</v>
      </c>
    </row>
    <row r="74" spans="1:11">
      <c r="A74" t="s">
        <v>93</v>
      </c>
      <c r="B74" t="s">
        <v>82</v>
      </c>
      <c r="C74" t="s">
        <v>83</v>
      </c>
      <c r="D74" t="s">
        <v>84</v>
      </c>
      <c r="E74" s="2">
        <v>1755000000</v>
      </c>
      <c r="F74" s="2">
        <v>2255175000</v>
      </c>
      <c r="G74" s="2">
        <v>2897899875</v>
      </c>
      <c r="H74" s="2">
        <v>3723801339.37</v>
      </c>
      <c r="I74" s="2">
        <v>4785084721.1</v>
      </c>
      <c r="J74" s="2">
        <f>E74*((1+K74)^5)</f>
        <v>6148833866.61</v>
      </c>
      <c r="K74" s="3">
        <v>0.285</v>
      </c>
    </row>
    <row r="75" spans="1:11">
      <c r="A75" t="s">
        <v>93</v>
      </c>
      <c r="B75" t="s">
        <v>82</v>
      </c>
      <c r="C75" t="s">
        <v>83</v>
      </c>
      <c r="D75" t="s">
        <v>85</v>
      </c>
      <c r="E75" s="2">
        <v>1316250000</v>
      </c>
      <c r="F75" s="2">
        <v>1691381250</v>
      </c>
      <c r="G75" s="2">
        <v>2173424906.25</v>
      </c>
      <c r="H75" s="2">
        <v>2792851004.53</v>
      </c>
      <c r="I75" s="2">
        <v>3588813540.82</v>
      </c>
      <c r="J75" s="2">
        <f>E75*((1+K75)^5)</f>
        <v>4611625399.96</v>
      </c>
      <c r="K75" s="3">
        <v>0.285</v>
      </c>
    </row>
    <row r="76" spans="1:11">
      <c r="A76" t="s">
        <v>93</v>
      </c>
      <c r="B76" t="s">
        <v>82</v>
      </c>
      <c r="C76" t="s">
        <v>83</v>
      </c>
      <c r="D76" t="s">
        <v>86</v>
      </c>
      <c r="E76" s="2">
        <v>965250000</v>
      </c>
      <c r="F76" s="2">
        <v>1240346250</v>
      </c>
      <c r="G76" s="2">
        <v>1593844931.25</v>
      </c>
      <c r="H76" s="2">
        <v>2048090736.66</v>
      </c>
      <c r="I76" s="2">
        <v>2631796596.6</v>
      </c>
      <c r="J76" s="2">
        <f>E76*((1+K76)^5)</f>
        <v>3381858626.64</v>
      </c>
      <c r="K76" s="3">
        <v>0.285</v>
      </c>
    </row>
    <row r="77" spans="1:11">
      <c r="A77" t="s">
        <v>93</v>
      </c>
      <c r="B77" t="s">
        <v>82</v>
      </c>
      <c r="C77" t="s">
        <v>83</v>
      </c>
      <c r="D77" t="s">
        <v>87</v>
      </c>
      <c r="E77" s="2">
        <v>351000000</v>
      </c>
      <c r="F77" s="2">
        <v>451035000</v>
      </c>
      <c r="G77" s="2">
        <v>579579975</v>
      </c>
      <c r="H77" s="2">
        <v>744760267.87</v>
      </c>
      <c r="I77" s="2">
        <v>957016944.22</v>
      </c>
      <c r="J77" s="2">
        <f>E77*((1+K77)^5)</f>
        <v>1229766773.32</v>
      </c>
      <c r="K77" s="3">
        <v>0.285</v>
      </c>
    </row>
    <row r="78" spans="1:11">
      <c r="A78" t="s">
        <v>93</v>
      </c>
      <c r="B78" t="s">
        <v>82</v>
      </c>
      <c r="C78" t="s">
        <v>88</v>
      </c>
      <c r="D78" t="s">
        <v>84</v>
      </c>
      <c r="E78" s="2">
        <v>365625000</v>
      </c>
      <c r="F78" s="2">
        <v>469828125</v>
      </c>
      <c r="G78" s="2">
        <v>603729140.62</v>
      </c>
      <c r="H78" s="2">
        <v>775791945.7</v>
      </c>
      <c r="I78" s="2">
        <v>996892650.23</v>
      </c>
      <c r="J78" s="2">
        <f>E78*((1+K78)^5)</f>
        <v>1281007055.54</v>
      </c>
      <c r="K78" s="3">
        <v>0.285</v>
      </c>
    </row>
    <row r="79" spans="1:11">
      <c r="A79" t="s">
        <v>93</v>
      </c>
      <c r="B79" t="s">
        <v>82</v>
      </c>
      <c r="C79" t="s">
        <v>88</v>
      </c>
      <c r="D79" t="s">
        <v>85</v>
      </c>
      <c r="E79" s="2">
        <v>274218750</v>
      </c>
      <c r="F79" s="2">
        <v>352371093.75</v>
      </c>
      <c r="G79" s="2">
        <v>452796855.47</v>
      </c>
      <c r="H79" s="2">
        <v>581843959.28</v>
      </c>
      <c r="I79" s="2">
        <v>747669487.67</v>
      </c>
      <c r="J79" s="2">
        <f>E79*((1+K79)^5)</f>
        <v>960755291.66</v>
      </c>
      <c r="K79" s="3">
        <v>0.285</v>
      </c>
    </row>
    <row r="80" spans="1:11">
      <c r="A80" t="s">
        <v>93</v>
      </c>
      <c r="B80" t="s">
        <v>82</v>
      </c>
      <c r="C80" t="s">
        <v>88</v>
      </c>
      <c r="D80" t="s">
        <v>86</v>
      </c>
      <c r="E80" s="2">
        <v>201093750</v>
      </c>
      <c r="F80" s="2">
        <v>258405468.75</v>
      </c>
      <c r="G80" s="2">
        <v>332051027.34</v>
      </c>
      <c r="H80" s="2">
        <v>426685570.14</v>
      </c>
      <c r="I80" s="2">
        <v>548290957.63</v>
      </c>
      <c r="J80" s="2">
        <f>E80*((1+K80)^5)</f>
        <v>704553880.55</v>
      </c>
      <c r="K80" s="3">
        <v>0.285</v>
      </c>
    </row>
    <row r="81" spans="1:11">
      <c r="A81" t="s">
        <v>93</v>
      </c>
      <c r="B81" t="s">
        <v>82</v>
      </c>
      <c r="C81" t="s">
        <v>88</v>
      </c>
      <c r="D81" t="s">
        <v>87</v>
      </c>
      <c r="E81" s="2">
        <v>73125000</v>
      </c>
      <c r="F81" s="2">
        <v>93965625</v>
      </c>
      <c r="G81" s="2">
        <v>120745828.12</v>
      </c>
      <c r="H81" s="2">
        <v>155158389.14</v>
      </c>
      <c r="I81" s="2">
        <v>199378530.05</v>
      </c>
      <c r="J81" s="2">
        <f>E81*((1+K81)^5)</f>
        <v>256201411.11</v>
      </c>
      <c r="K81" s="3">
        <v>0.285</v>
      </c>
    </row>
    <row r="82" spans="1:11">
      <c r="A82" t="s">
        <v>93</v>
      </c>
      <c r="B82" t="s">
        <v>89</v>
      </c>
      <c r="C82" t="s">
        <v>83</v>
      </c>
      <c r="D82" t="s">
        <v>84</v>
      </c>
      <c r="E82" s="2">
        <v>405000000</v>
      </c>
      <c r="F82" s="2">
        <v>465750000</v>
      </c>
      <c r="G82" s="2">
        <v>535612500</v>
      </c>
      <c r="H82" s="2">
        <v>615954375</v>
      </c>
      <c r="I82" s="2">
        <v>708347531.25</v>
      </c>
      <c r="J82" s="2">
        <f>E82*((1+K82)^5)</f>
        <v>814599660.94</v>
      </c>
      <c r="K82" s="3">
        <v>0.15</v>
      </c>
    </row>
    <row r="83" spans="1:11">
      <c r="A83" t="s">
        <v>93</v>
      </c>
      <c r="B83" t="s">
        <v>89</v>
      </c>
      <c r="C83" t="s">
        <v>83</v>
      </c>
      <c r="D83" t="s">
        <v>85</v>
      </c>
      <c r="E83" s="2">
        <v>303750000</v>
      </c>
      <c r="F83" s="2">
        <v>349312500</v>
      </c>
      <c r="G83" s="2">
        <v>401709375</v>
      </c>
      <c r="H83" s="2">
        <v>461965781.25</v>
      </c>
      <c r="I83" s="2">
        <v>531260648.44</v>
      </c>
      <c r="J83" s="2">
        <f>E83*((1+K83)^5)</f>
        <v>610949745.7</v>
      </c>
      <c r="K83" s="3">
        <v>0.15</v>
      </c>
    </row>
    <row r="84" spans="1:11">
      <c r="A84" t="s">
        <v>93</v>
      </c>
      <c r="B84" t="s">
        <v>89</v>
      </c>
      <c r="C84" t="s">
        <v>83</v>
      </c>
      <c r="D84" t="s">
        <v>86</v>
      </c>
      <c r="E84" s="2">
        <v>222750000</v>
      </c>
      <c r="F84" s="2">
        <v>256162500</v>
      </c>
      <c r="G84" s="2">
        <v>294586875</v>
      </c>
      <c r="H84" s="2">
        <v>338774906.25</v>
      </c>
      <c r="I84" s="2">
        <v>389591142.19</v>
      </c>
      <c r="J84" s="2">
        <f>E84*((1+K84)^5)</f>
        <v>448029813.52</v>
      </c>
      <c r="K84" s="3">
        <v>0.15</v>
      </c>
    </row>
    <row r="85" spans="1:11">
      <c r="A85" t="s">
        <v>93</v>
      </c>
      <c r="B85" t="s">
        <v>89</v>
      </c>
      <c r="C85" t="s">
        <v>83</v>
      </c>
      <c r="D85" t="s">
        <v>87</v>
      </c>
      <c r="E85" s="2">
        <v>81000000</v>
      </c>
      <c r="F85" s="2">
        <v>93150000</v>
      </c>
      <c r="G85" s="2">
        <v>107122500</v>
      </c>
      <c r="H85" s="2">
        <v>123190875</v>
      </c>
      <c r="I85" s="2">
        <v>141669506.25</v>
      </c>
      <c r="J85" s="2">
        <f>E85*((1+K85)^5)</f>
        <v>162919932.19</v>
      </c>
      <c r="K85" s="3">
        <v>0.15</v>
      </c>
    </row>
    <row r="86" spans="1:11">
      <c r="A86" t="s">
        <v>93</v>
      </c>
      <c r="B86" t="s">
        <v>89</v>
      </c>
      <c r="C86" t="s">
        <v>88</v>
      </c>
      <c r="D86" t="s">
        <v>84</v>
      </c>
      <c r="E86" s="2">
        <v>84375000</v>
      </c>
      <c r="F86" s="2">
        <v>97031250</v>
      </c>
      <c r="G86" s="2">
        <v>111585937.5</v>
      </c>
      <c r="H86" s="2">
        <v>128323828.12</v>
      </c>
      <c r="I86" s="2">
        <v>147572402.34</v>
      </c>
      <c r="J86" s="2">
        <f>E86*((1+K86)^5)</f>
        <v>169708262.7</v>
      </c>
      <c r="K86" s="3">
        <v>0.15</v>
      </c>
    </row>
    <row r="87" spans="1:11">
      <c r="A87" t="s">
        <v>93</v>
      </c>
      <c r="B87" t="s">
        <v>89</v>
      </c>
      <c r="C87" t="s">
        <v>88</v>
      </c>
      <c r="D87" t="s">
        <v>85</v>
      </c>
      <c r="E87" s="2">
        <v>63281250</v>
      </c>
      <c r="F87" s="2">
        <v>72773437.5</v>
      </c>
      <c r="G87" s="2">
        <v>83689453.12</v>
      </c>
      <c r="H87" s="2">
        <v>96242871.09</v>
      </c>
      <c r="I87" s="2">
        <v>110679301.76</v>
      </c>
      <c r="J87" s="2">
        <f>E87*((1+K87)^5)</f>
        <v>127281197.02</v>
      </c>
      <c r="K87" s="3">
        <v>0.15</v>
      </c>
    </row>
    <row r="88" spans="1:11">
      <c r="A88" t="s">
        <v>93</v>
      </c>
      <c r="B88" t="s">
        <v>89</v>
      </c>
      <c r="C88" t="s">
        <v>88</v>
      </c>
      <c r="D88" t="s">
        <v>86</v>
      </c>
      <c r="E88" s="2">
        <v>46406250</v>
      </c>
      <c r="F88" s="2">
        <v>53367187.5</v>
      </c>
      <c r="G88" s="2">
        <v>61372265.62</v>
      </c>
      <c r="H88" s="2">
        <v>70578105.47</v>
      </c>
      <c r="I88" s="2">
        <v>81164821.29000001</v>
      </c>
      <c r="J88" s="2">
        <f>E88*((1+K88)^5)</f>
        <v>93339544.48</v>
      </c>
      <c r="K88" s="3">
        <v>0.15</v>
      </c>
    </row>
    <row r="89" spans="1:11">
      <c r="A89" t="s">
        <v>93</v>
      </c>
      <c r="B89" t="s">
        <v>89</v>
      </c>
      <c r="C89" t="s">
        <v>88</v>
      </c>
      <c r="D89" t="s">
        <v>87</v>
      </c>
      <c r="E89" s="2">
        <v>16875000</v>
      </c>
      <c r="F89" s="2">
        <v>19406250</v>
      </c>
      <c r="G89" s="2">
        <v>22317187.5</v>
      </c>
      <c r="H89" s="2">
        <v>25664765.62</v>
      </c>
      <c r="I89" s="2">
        <v>29514480.47</v>
      </c>
      <c r="J89" s="2">
        <f>E89*((1+K89)^5)</f>
        <v>33941652.54</v>
      </c>
      <c r="K89" s="3">
        <v>0.15</v>
      </c>
    </row>
    <row r="90" spans="1:11">
      <c r="A90" t="s">
        <v>93</v>
      </c>
      <c r="B90" t="s">
        <v>90</v>
      </c>
      <c r="C90" t="s">
        <v>83</v>
      </c>
      <c r="D90" t="s">
        <v>84</v>
      </c>
      <c r="E90" s="2">
        <v>540000000</v>
      </c>
      <c r="F90" s="2">
        <v>675000000</v>
      </c>
      <c r="G90" s="2">
        <v>843750000</v>
      </c>
      <c r="H90" s="2">
        <v>1054687500</v>
      </c>
      <c r="I90" s="2">
        <v>1318359375</v>
      </c>
      <c r="J90" s="2">
        <f>E90*((1+K90)^5)</f>
        <v>1647949218.75</v>
      </c>
      <c r="K90" s="3">
        <v>0.25</v>
      </c>
    </row>
    <row r="91" spans="1:11">
      <c r="A91" t="s">
        <v>93</v>
      </c>
      <c r="B91" t="s">
        <v>90</v>
      </c>
      <c r="C91" t="s">
        <v>83</v>
      </c>
      <c r="D91" t="s">
        <v>85</v>
      </c>
      <c r="E91" s="2">
        <v>405000000</v>
      </c>
      <c r="F91" s="2">
        <v>506250000</v>
      </c>
      <c r="G91" s="2">
        <v>632812500</v>
      </c>
      <c r="H91" s="2">
        <v>791015625</v>
      </c>
      <c r="I91" s="2">
        <v>988769531.25</v>
      </c>
      <c r="J91" s="2">
        <f>E91*((1+K91)^5)</f>
        <v>1235961914.06</v>
      </c>
      <c r="K91" s="3">
        <v>0.25</v>
      </c>
    </row>
    <row r="92" spans="1:11">
      <c r="A92" t="s">
        <v>93</v>
      </c>
      <c r="B92" t="s">
        <v>90</v>
      </c>
      <c r="C92" t="s">
        <v>83</v>
      </c>
      <c r="D92" t="s">
        <v>86</v>
      </c>
      <c r="E92" s="2">
        <v>297000000</v>
      </c>
      <c r="F92" s="2">
        <v>371250000</v>
      </c>
      <c r="G92" s="2">
        <v>464062500</v>
      </c>
      <c r="H92" s="2">
        <v>580078125</v>
      </c>
      <c r="I92" s="2">
        <v>725097656.25</v>
      </c>
      <c r="J92" s="2">
        <f>E92*((1+K92)^5)</f>
        <v>906372070.31</v>
      </c>
      <c r="K92" s="3">
        <v>0.25</v>
      </c>
    </row>
    <row r="93" spans="1:11">
      <c r="A93" t="s">
        <v>93</v>
      </c>
      <c r="B93" t="s">
        <v>90</v>
      </c>
      <c r="C93" t="s">
        <v>83</v>
      </c>
      <c r="D93" t="s">
        <v>87</v>
      </c>
      <c r="E93" s="2">
        <v>108000000</v>
      </c>
      <c r="F93" s="2">
        <v>135000000</v>
      </c>
      <c r="G93" s="2">
        <v>168750000</v>
      </c>
      <c r="H93" s="2">
        <v>210937500</v>
      </c>
      <c r="I93" s="2">
        <v>263671875</v>
      </c>
      <c r="J93" s="2">
        <f>E93*((1+K93)^5)</f>
        <v>329589843.75</v>
      </c>
      <c r="K93" s="3">
        <v>0.25</v>
      </c>
    </row>
    <row r="94" spans="1:11">
      <c r="A94" t="s">
        <v>93</v>
      </c>
      <c r="B94" t="s">
        <v>90</v>
      </c>
      <c r="C94" t="s">
        <v>88</v>
      </c>
      <c r="D94" t="s">
        <v>84</v>
      </c>
      <c r="E94" s="2">
        <v>112500000</v>
      </c>
      <c r="F94" s="2">
        <v>140625000</v>
      </c>
      <c r="G94" s="2">
        <v>175781250</v>
      </c>
      <c r="H94" s="2">
        <v>219726562.5</v>
      </c>
      <c r="I94" s="2">
        <v>274658203.12</v>
      </c>
      <c r="J94" s="2">
        <f>E94*((1+K94)^5)</f>
        <v>343322753.91</v>
      </c>
      <c r="K94" s="3">
        <v>0.25</v>
      </c>
    </row>
    <row r="95" spans="1:11">
      <c r="A95" t="s">
        <v>93</v>
      </c>
      <c r="B95" t="s">
        <v>90</v>
      </c>
      <c r="C95" t="s">
        <v>88</v>
      </c>
      <c r="D95" t="s">
        <v>85</v>
      </c>
      <c r="E95" s="2">
        <v>84375000</v>
      </c>
      <c r="F95" s="2">
        <v>105468750</v>
      </c>
      <c r="G95" s="2">
        <v>131835937.5</v>
      </c>
      <c r="H95" s="2">
        <v>164794921.88</v>
      </c>
      <c r="I95" s="2">
        <v>205993652.34</v>
      </c>
      <c r="J95" s="2">
        <f>E95*((1+K95)^5)</f>
        <v>257492065.43</v>
      </c>
      <c r="K95" s="3">
        <v>0.25</v>
      </c>
    </row>
    <row r="96" spans="1:11">
      <c r="A96" t="s">
        <v>93</v>
      </c>
      <c r="B96" t="s">
        <v>90</v>
      </c>
      <c r="C96" t="s">
        <v>88</v>
      </c>
      <c r="D96" t="s">
        <v>86</v>
      </c>
      <c r="E96" s="2">
        <v>61875000</v>
      </c>
      <c r="F96" s="2">
        <v>77343750</v>
      </c>
      <c r="G96" s="2">
        <v>96679687.5</v>
      </c>
      <c r="H96" s="2">
        <v>120849609.38</v>
      </c>
      <c r="I96" s="2">
        <v>151062011.72</v>
      </c>
      <c r="J96" s="2">
        <f>E96*((1+K96)^5)</f>
        <v>188827514.65</v>
      </c>
      <c r="K96" s="3">
        <v>0.25</v>
      </c>
    </row>
    <row r="97" spans="1:11">
      <c r="A97" t="s">
        <v>93</v>
      </c>
      <c r="B97" t="s">
        <v>90</v>
      </c>
      <c r="C97" t="s">
        <v>88</v>
      </c>
      <c r="D97" t="s">
        <v>87</v>
      </c>
      <c r="E97" s="2">
        <v>22500000</v>
      </c>
      <c r="F97" s="2">
        <v>28125000</v>
      </c>
      <c r="G97" s="2">
        <v>35156250</v>
      </c>
      <c r="H97" s="2">
        <v>43945312.5</v>
      </c>
      <c r="I97" s="2">
        <v>54931640.62</v>
      </c>
      <c r="J97" s="2">
        <f>E97*((1+K97)^5)</f>
        <v>68664550.78</v>
      </c>
      <c r="K97" s="3">
        <v>0.25</v>
      </c>
    </row>
    <row r="98" spans="1:11">
      <c r="A98" t="s">
        <v>94</v>
      </c>
      <c r="B98" t="s">
        <v>82</v>
      </c>
      <c r="C98" t="s">
        <v>83</v>
      </c>
      <c r="D98" t="s">
        <v>84</v>
      </c>
      <c r="E98" s="2">
        <v>1170000000</v>
      </c>
      <c r="F98" s="2">
        <v>1415700000</v>
      </c>
      <c r="G98" s="2">
        <v>1712997000</v>
      </c>
      <c r="H98" s="2">
        <v>2072726370</v>
      </c>
      <c r="I98" s="2">
        <v>2507998907.7</v>
      </c>
      <c r="J98" s="2">
        <f>E98*((1+K98)^5)</f>
        <v>3034678678.32</v>
      </c>
      <c r="K98" s="3">
        <v>0.21</v>
      </c>
    </row>
    <row r="99" spans="1:11">
      <c r="A99" t="s">
        <v>94</v>
      </c>
      <c r="B99" t="s">
        <v>82</v>
      </c>
      <c r="C99" t="s">
        <v>83</v>
      </c>
      <c r="D99" t="s">
        <v>85</v>
      </c>
      <c r="E99" s="2">
        <v>877500000</v>
      </c>
      <c r="F99" s="2">
        <v>1061775000</v>
      </c>
      <c r="G99" s="2">
        <v>1284747750</v>
      </c>
      <c r="H99" s="2">
        <v>1554544777.5</v>
      </c>
      <c r="I99" s="2">
        <v>1880999180.77</v>
      </c>
      <c r="J99" s="2">
        <f>E99*((1+K99)^5)</f>
        <v>2276009008.74</v>
      </c>
      <c r="K99" s="3">
        <v>0.21</v>
      </c>
    </row>
    <row r="100" spans="1:11">
      <c r="A100" t="s">
        <v>94</v>
      </c>
      <c r="B100" t="s">
        <v>82</v>
      </c>
      <c r="C100" t="s">
        <v>83</v>
      </c>
      <c r="D100" t="s">
        <v>86</v>
      </c>
      <c r="E100" s="2">
        <v>643500000</v>
      </c>
      <c r="F100" s="2">
        <v>778635000</v>
      </c>
      <c r="G100" s="2">
        <v>942148350</v>
      </c>
      <c r="H100" s="2">
        <v>1139999503.5</v>
      </c>
      <c r="I100" s="2">
        <v>1379399399.23</v>
      </c>
      <c r="J100" s="2">
        <f>E100*((1+K100)^5)</f>
        <v>1669073273.07</v>
      </c>
      <c r="K100" s="3">
        <v>0.21</v>
      </c>
    </row>
    <row r="101" spans="1:11">
      <c r="A101" t="s">
        <v>94</v>
      </c>
      <c r="B101" t="s">
        <v>82</v>
      </c>
      <c r="C101" t="s">
        <v>83</v>
      </c>
      <c r="D101" t="s">
        <v>87</v>
      </c>
      <c r="E101" s="2">
        <v>234000000</v>
      </c>
      <c r="F101" s="2">
        <v>283140000</v>
      </c>
      <c r="G101" s="2">
        <v>342599400</v>
      </c>
      <c r="H101" s="2">
        <v>414545274</v>
      </c>
      <c r="I101" s="2">
        <v>501599781.54</v>
      </c>
      <c r="J101" s="2">
        <f>E101*((1+K101)^5)</f>
        <v>606935735.66</v>
      </c>
      <c r="K101" s="3">
        <v>0.21</v>
      </c>
    </row>
    <row r="102" spans="1:11">
      <c r="A102" t="s">
        <v>94</v>
      </c>
      <c r="B102" t="s">
        <v>82</v>
      </c>
      <c r="C102" t="s">
        <v>88</v>
      </c>
      <c r="D102" t="s">
        <v>84</v>
      </c>
      <c r="E102" s="2">
        <v>243750000</v>
      </c>
      <c r="F102" s="2">
        <v>294937500</v>
      </c>
      <c r="G102" s="2">
        <v>356874375</v>
      </c>
      <c r="H102" s="2">
        <v>431817993.75</v>
      </c>
      <c r="I102" s="2">
        <v>522499772.44</v>
      </c>
      <c r="J102" s="2">
        <f>E102*((1+K102)^5)</f>
        <v>632224724.65</v>
      </c>
      <c r="K102" s="3">
        <v>0.21</v>
      </c>
    </row>
    <row r="103" spans="1:11">
      <c r="A103" t="s">
        <v>94</v>
      </c>
      <c r="B103" t="s">
        <v>82</v>
      </c>
      <c r="C103" t="s">
        <v>88</v>
      </c>
      <c r="D103" t="s">
        <v>85</v>
      </c>
      <c r="E103" s="2">
        <v>182812500</v>
      </c>
      <c r="F103" s="2">
        <v>221203125</v>
      </c>
      <c r="G103" s="2">
        <v>267655781.25</v>
      </c>
      <c r="H103" s="2">
        <v>323863495.31</v>
      </c>
      <c r="I103" s="2">
        <v>391874829.33</v>
      </c>
      <c r="J103" s="2">
        <f>E103*((1+K103)^5)</f>
        <v>474168543.49</v>
      </c>
      <c r="K103" s="3">
        <v>0.21</v>
      </c>
    </row>
    <row r="104" spans="1:11">
      <c r="A104" t="s">
        <v>94</v>
      </c>
      <c r="B104" t="s">
        <v>82</v>
      </c>
      <c r="C104" t="s">
        <v>88</v>
      </c>
      <c r="D104" t="s">
        <v>86</v>
      </c>
      <c r="E104" s="2">
        <v>134062500</v>
      </c>
      <c r="F104" s="2">
        <v>162215625</v>
      </c>
      <c r="G104" s="2">
        <v>196280906.25</v>
      </c>
      <c r="H104" s="2">
        <v>237499896.56</v>
      </c>
      <c r="I104" s="2">
        <v>287374874.84</v>
      </c>
      <c r="J104" s="2">
        <f>E104*((1+K104)^5)</f>
        <v>347723598.56</v>
      </c>
      <c r="K104" s="3">
        <v>0.21</v>
      </c>
    </row>
    <row r="105" spans="1:11">
      <c r="A105" t="s">
        <v>94</v>
      </c>
      <c r="B105" t="s">
        <v>82</v>
      </c>
      <c r="C105" t="s">
        <v>88</v>
      </c>
      <c r="D105" t="s">
        <v>87</v>
      </c>
      <c r="E105" s="2">
        <v>48750000</v>
      </c>
      <c r="F105" s="2">
        <v>58987500</v>
      </c>
      <c r="G105" s="2">
        <v>71374875</v>
      </c>
      <c r="H105" s="2">
        <v>86363598.75</v>
      </c>
      <c r="I105" s="2">
        <v>104499954.49</v>
      </c>
      <c r="J105" s="2">
        <f>E105*((1+K105)^5)</f>
        <v>126444944.93</v>
      </c>
      <c r="K105" s="3">
        <v>0.21</v>
      </c>
    </row>
    <row r="106" spans="1:11">
      <c r="A106" t="s">
        <v>94</v>
      </c>
      <c r="B106" t="s">
        <v>89</v>
      </c>
      <c r="C106" t="s">
        <v>83</v>
      </c>
      <c r="D106" t="s">
        <v>84</v>
      </c>
      <c r="E106" s="2">
        <v>270000000</v>
      </c>
      <c r="F106" s="2">
        <v>290250000</v>
      </c>
      <c r="G106" s="2">
        <v>312018750</v>
      </c>
      <c r="H106" s="2">
        <v>335420156.25</v>
      </c>
      <c r="I106" s="2">
        <v>360576667.97</v>
      </c>
      <c r="J106" s="2">
        <f>E106*((1+K106)^5)</f>
        <v>387619918.07</v>
      </c>
      <c r="K106" s="3">
        <v>0.075</v>
      </c>
    </row>
    <row r="107" spans="1:11">
      <c r="A107" t="s">
        <v>94</v>
      </c>
      <c r="B107" t="s">
        <v>89</v>
      </c>
      <c r="C107" t="s">
        <v>83</v>
      </c>
      <c r="D107" t="s">
        <v>85</v>
      </c>
      <c r="E107" s="2">
        <v>202500000</v>
      </c>
      <c r="F107" s="2">
        <v>217687500</v>
      </c>
      <c r="G107" s="2">
        <v>234014062.5</v>
      </c>
      <c r="H107" s="2">
        <v>251565117.19</v>
      </c>
      <c r="I107" s="2">
        <v>270432500.98</v>
      </c>
      <c r="J107" s="2">
        <f>E107*((1+K107)^5)</f>
        <v>290714938.55</v>
      </c>
      <c r="K107" s="3">
        <v>0.075</v>
      </c>
    </row>
    <row r="108" spans="1:11">
      <c r="A108" t="s">
        <v>94</v>
      </c>
      <c r="B108" t="s">
        <v>89</v>
      </c>
      <c r="C108" t="s">
        <v>83</v>
      </c>
      <c r="D108" t="s">
        <v>86</v>
      </c>
      <c r="E108" s="2">
        <v>148500000</v>
      </c>
      <c r="F108" s="2">
        <v>159637500</v>
      </c>
      <c r="G108" s="2">
        <v>171610312.5</v>
      </c>
      <c r="H108" s="2">
        <v>184481085.94</v>
      </c>
      <c r="I108" s="2">
        <v>198317167.38</v>
      </c>
      <c r="J108" s="2">
        <f>E108*((1+K108)^5)</f>
        <v>213190954.94</v>
      </c>
      <c r="K108" s="3">
        <v>0.075</v>
      </c>
    </row>
    <row r="109" spans="1:11">
      <c r="A109" t="s">
        <v>94</v>
      </c>
      <c r="B109" t="s">
        <v>89</v>
      </c>
      <c r="C109" t="s">
        <v>83</v>
      </c>
      <c r="D109" t="s">
        <v>87</v>
      </c>
      <c r="E109" s="2">
        <v>54000000</v>
      </c>
      <c r="F109" s="2">
        <v>58050000</v>
      </c>
      <c r="G109" s="2">
        <v>62403750</v>
      </c>
      <c r="H109" s="2">
        <v>67084031.25</v>
      </c>
      <c r="I109" s="2">
        <v>72115333.59</v>
      </c>
      <c r="J109" s="2">
        <f>E109*((1+K109)^5)</f>
        <v>77523983.61</v>
      </c>
      <c r="K109" s="3">
        <v>0.075</v>
      </c>
    </row>
    <row r="110" spans="1:11">
      <c r="A110" t="s">
        <v>94</v>
      </c>
      <c r="B110" t="s">
        <v>89</v>
      </c>
      <c r="C110" t="s">
        <v>88</v>
      </c>
      <c r="D110" t="s">
        <v>84</v>
      </c>
      <c r="E110" s="2">
        <v>56250000</v>
      </c>
      <c r="F110" s="2">
        <v>60468750</v>
      </c>
      <c r="G110" s="2">
        <v>65003906.25</v>
      </c>
      <c r="H110" s="2">
        <v>69879199.22</v>
      </c>
      <c r="I110" s="2">
        <v>75120139.16</v>
      </c>
      <c r="J110" s="2">
        <f>E110*((1+K110)^5)</f>
        <v>80754149.6</v>
      </c>
      <c r="K110" s="3">
        <v>0.075</v>
      </c>
    </row>
    <row r="111" spans="1:11">
      <c r="A111" t="s">
        <v>94</v>
      </c>
      <c r="B111" t="s">
        <v>89</v>
      </c>
      <c r="C111" t="s">
        <v>88</v>
      </c>
      <c r="D111" t="s">
        <v>85</v>
      </c>
      <c r="E111" s="2">
        <v>42187500</v>
      </c>
      <c r="F111" s="2">
        <v>45351562.5</v>
      </c>
      <c r="G111" s="2">
        <v>48752929.69</v>
      </c>
      <c r="H111" s="2">
        <v>52409399.41</v>
      </c>
      <c r="I111" s="2">
        <v>56340104.37</v>
      </c>
      <c r="J111" s="2">
        <f>E111*((1+K111)^5)</f>
        <v>60565612.2</v>
      </c>
      <c r="K111" s="3">
        <v>0.075</v>
      </c>
    </row>
    <row r="112" spans="1:11">
      <c r="A112" t="s">
        <v>94</v>
      </c>
      <c r="B112" t="s">
        <v>89</v>
      </c>
      <c r="C112" t="s">
        <v>88</v>
      </c>
      <c r="D112" t="s">
        <v>86</v>
      </c>
      <c r="E112" s="2">
        <v>30937500</v>
      </c>
      <c r="F112" s="2">
        <v>33257812.5</v>
      </c>
      <c r="G112" s="2">
        <v>35752148.44</v>
      </c>
      <c r="H112" s="2">
        <v>38433559.57</v>
      </c>
      <c r="I112" s="2">
        <v>41316076.54</v>
      </c>
      <c r="J112" s="2">
        <f>E112*((1+K112)^5)</f>
        <v>44414782.28</v>
      </c>
      <c r="K112" s="3">
        <v>0.075</v>
      </c>
    </row>
    <row r="113" spans="1:11">
      <c r="A113" t="s">
        <v>94</v>
      </c>
      <c r="B113" t="s">
        <v>89</v>
      </c>
      <c r="C113" t="s">
        <v>88</v>
      </c>
      <c r="D113" t="s">
        <v>87</v>
      </c>
      <c r="E113" s="2">
        <v>11250000</v>
      </c>
      <c r="F113" s="2">
        <v>12093750</v>
      </c>
      <c r="G113" s="2">
        <v>13000781.25</v>
      </c>
      <c r="H113" s="2">
        <v>13975839.84</v>
      </c>
      <c r="I113" s="2">
        <v>15024027.83</v>
      </c>
      <c r="J113" s="2">
        <f>E113*((1+K113)^5)</f>
        <v>16150829.92</v>
      </c>
      <c r="K113" s="3">
        <v>0.075</v>
      </c>
    </row>
    <row r="114" spans="1:11">
      <c r="A114" t="s">
        <v>94</v>
      </c>
      <c r="B114" t="s">
        <v>90</v>
      </c>
      <c r="C114" t="s">
        <v>83</v>
      </c>
      <c r="D114" t="s">
        <v>84</v>
      </c>
      <c r="E114" s="2">
        <v>360000000</v>
      </c>
      <c r="F114" s="2">
        <v>423000000</v>
      </c>
      <c r="G114" s="2">
        <v>497025000</v>
      </c>
      <c r="H114" s="2">
        <v>584004375</v>
      </c>
      <c r="I114" s="2">
        <v>686205140.63</v>
      </c>
      <c r="J114" s="2">
        <f>E114*((1+K114)^5)</f>
        <v>806291040.23</v>
      </c>
      <c r="K114" s="3">
        <v>0.175</v>
      </c>
    </row>
    <row r="115" spans="1:11">
      <c r="A115" t="s">
        <v>94</v>
      </c>
      <c r="B115" t="s">
        <v>90</v>
      </c>
      <c r="C115" t="s">
        <v>83</v>
      </c>
      <c r="D115" t="s">
        <v>85</v>
      </c>
      <c r="E115" s="2">
        <v>270000000</v>
      </c>
      <c r="F115" s="2">
        <v>317250000</v>
      </c>
      <c r="G115" s="2">
        <v>372768750</v>
      </c>
      <c r="H115" s="2">
        <v>438003281.25</v>
      </c>
      <c r="I115" s="2">
        <v>514653855.47</v>
      </c>
      <c r="J115" s="2">
        <f>E115*((1+K115)^5)</f>
        <v>604718280.18</v>
      </c>
      <c r="K115" s="3">
        <v>0.175</v>
      </c>
    </row>
    <row r="116" spans="1:11">
      <c r="A116" t="s">
        <v>94</v>
      </c>
      <c r="B116" t="s">
        <v>90</v>
      </c>
      <c r="C116" t="s">
        <v>83</v>
      </c>
      <c r="D116" t="s">
        <v>86</v>
      </c>
      <c r="E116" s="2">
        <v>198000000</v>
      </c>
      <c r="F116" s="2">
        <v>232650000</v>
      </c>
      <c r="G116" s="2">
        <v>273363750</v>
      </c>
      <c r="H116" s="2">
        <v>321202406.25</v>
      </c>
      <c r="I116" s="2">
        <v>377412827.34</v>
      </c>
      <c r="J116" s="2">
        <f>E116*((1+K116)^5)</f>
        <v>443460072.13</v>
      </c>
      <c r="K116" s="3">
        <v>0.175</v>
      </c>
    </row>
    <row r="117" spans="1:11">
      <c r="A117" t="s">
        <v>94</v>
      </c>
      <c r="B117" t="s">
        <v>90</v>
      </c>
      <c r="C117" t="s">
        <v>83</v>
      </c>
      <c r="D117" t="s">
        <v>87</v>
      </c>
      <c r="E117" s="2">
        <v>72000000</v>
      </c>
      <c r="F117" s="2">
        <v>84600000</v>
      </c>
      <c r="G117" s="2">
        <v>99405000</v>
      </c>
      <c r="H117" s="2">
        <v>116800875</v>
      </c>
      <c r="I117" s="2">
        <v>137241028.12</v>
      </c>
      <c r="J117" s="2">
        <f>E117*((1+K117)^5)</f>
        <v>161258208.05</v>
      </c>
      <c r="K117" s="3">
        <v>0.175</v>
      </c>
    </row>
    <row r="118" spans="1:11">
      <c r="A118" t="s">
        <v>94</v>
      </c>
      <c r="B118" t="s">
        <v>90</v>
      </c>
      <c r="C118" t="s">
        <v>88</v>
      </c>
      <c r="D118" t="s">
        <v>84</v>
      </c>
      <c r="E118" s="2">
        <v>75000000</v>
      </c>
      <c r="F118" s="2">
        <v>88125000</v>
      </c>
      <c r="G118" s="2">
        <v>103546875</v>
      </c>
      <c r="H118" s="2">
        <v>121667578.13</v>
      </c>
      <c r="I118" s="2">
        <v>142959404.3</v>
      </c>
      <c r="J118" s="2">
        <f>E118*((1+K118)^5)</f>
        <v>167977300.05</v>
      </c>
      <c r="K118" s="3">
        <v>0.175</v>
      </c>
    </row>
    <row r="119" spans="1:11">
      <c r="A119" t="s">
        <v>94</v>
      </c>
      <c r="B119" t="s">
        <v>90</v>
      </c>
      <c r="C119" t="s">
        <v>88</v>
      </c>
      <c r="D119" t="s">
        <v>85</v>
      </c>
      <c r="E119" s="2">
        <v>56250000</v>
      </c>
      <c r="F119" s="2">
        <v>66093750</v>
      </c>
      <c r="G119" s="2">
        <v>77660156.25</v>
      </c>
      <c r="H119" s="2">
        <v>91250683.59</v>
      </c>
      <c r="I119" s="2">
        <v>107219553.22</v>
      </c>
      <c r="J119" s="2">
        <f>E119*((1+K119)^5)</f>
        <v>125982975.04</v>
      </c>
      <c r="K119" s="3">
        <v>0.175</v>
      </c>
    </row>
    <row r="120" spans="1:11">
      <c r="A120" t="s">
        <v>94</v>
      </c>
      <c r="B120" t="s">
        <v>90</v>
      </c>
      <c r="C120" t="s">
        <v>88</v>
      </c>
      <c r="D120" t="s">
        <v>86</v>
      </c>
      <c r="E120" s="2">
        <v>41250000</v>
      </c>
      <c r="F120" s="2">
        <v>48468750</v>
      </c>
      <c r="G120" s="2">
        <v>56950781.25</v>
      </c>
      <c r="H120" s="2">
        <v>66917167.97</v>
      </c>
      <c r="I120" s="2">
        <v>78627672.36</v>
      </c>
      <c r="J120" s="2">
        <f>E120*((1+K120)^5)</f>
        <v>92387515.03</v>
      </c>
      <c r="K120" s="3">
        <v>0.175</v>
      </c>
    </row>
    <row r="121" spans="1:11">
      <c r="A121" t="s">
        <v>94</v>
      </c>
      <c r="B121" t="s">
        <v>90</v>
      </c>
      <c r="C121" t="s">
        <v>88</v>
      </c>
      <c r="D121" t="s">
        <v>87</v>
      </c>
      <c r="E121" s="2">
        <v>15000000</v>
      </c>
      <c r="F121" s="2">
        <v>17625000</v>
      </c>
      <c r="G121" s="2">
        <v>20709375</v>
      </c>
      <c r="H121" s="2">
        <v>24333515.62</v>
      </c>
      <c r="I121" s="2">
        <v>28591880.86</v>
      </c>
      <c r="J121" s="2">
        <f>E121*((1+K121)^5)</f>
        <v>33595460.01</v>
      </c>
      <c r="K121" s="3">
        <v>0.175</v>
      </c>
    </row>
    <row r="122" spans="1:11">
      <c r="D122" t="s">
        <v>95</v>
      </c>
      <c r="E122" s="2">
        <f>SUM(E2:E121)</f>
        <v>0</v>
      </c>
      <c r="F122" s="2">
        <f>SUM(F2:F121)</f>
        <v>0</v>
      </c>
      <c r="G122" s="2">
        <f>SUM(G2:G121)</f>
        <v>0</v>
      </c>
      <c r="H122" s="2">
        <f>SUM(H2:H121)</f>
        <v>0</v>
      </c>
      <c r="I122" s="2">
        <f>SUM(I2:I121)</f>
        <v>0</v>
      </c>
      <c r="J122" s="2">
        <f>SUM(J2:J121)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96</v>
      </c>
      <c r="B1" t="s">
        <v>97</v>
      </c>
      <c r="C1" t="s">
        <v>98</v>
      </c>
    </row>
    <row r="2" spans="1:3">
      <c r="A2" t="s">
        <v>99</v>
      </c>
      <c r="B2" s="2">
        <v>3500000000</v>
      </c>
      <c r="C2" t="s">
        <v>12</v>
      </c>
    </row>
    <row r="3" spans="1:3">
      <c r="A3" t="s">
        <v>100</v>
      </c>
      <c r="B3" s="2">
        <v>2400000000</v>
      </c>
      <c r="C3" t="s">
        <v>12</v>
      </c>
    </row>
    <row r="4" spans="1:3">
      <c r="A4" t="s">
        <v>101</v>
      </c>
      <c r="B4" s="2">
        <v>15000000000</v>
      </c>
      <c r="C4" t="s">
        <v>17</v>
      </c>
    </row>
    <row r="5" spans="1:3">
      <c r="A5" t="s">
        <v>102</v>
      </c>
      <c r="B5" s="2">
        <f>SUM(B2:B4)</f>
        <v>0</v>
      </c>
    </row>
    <row r="6" spans="1:3">
      <c r="A6" t="s">
        <v>103</v>
      </c>
      <c r="B6" s="2">
        <f>Segments!E122</f>
        <v>0</v>
      </c>
    </row>
    <row r="7" spans="1:3">
      <c r="A7" t="s">
        <v>104</v>
      </c>
      <c r="B7" s="2">
        <f>B6-B5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Segments</vt:lpstr>
      <vt:lpstr>TopDownCheck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2026-09-30T01:08:06Z</dcterms:created>
  <dcterms:modified xsi:type="dcterms:W3CDTF">2026-09-30T01:08:06Z</dcterms:modified>
</cp:coreProperties>
</file>